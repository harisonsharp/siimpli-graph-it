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s\Work\Siim2025\siimpli-graph-it-copy\data\kutcho_metal\"/>
    </mc:Choice>
  </mc:AlternateContent>
  <xr:revisionPtr revIDLastSave="0" documentId="8_{B457C9FD-5C62-4192-B4CD-93F145E7615E}" xr6:coauthVersionLast="47" xr6:coauthVersionMax="47" xr10:uidLastSave="{00000000-0000-0000-0000-000000000000}"/>
  <bookViews>
    <workbookView xWindow="15876" yWindow="17172" windowWidth="23256" windowHeight="13176" xr2:uid="{FB95E712-B2C9-4CD4-9AD6-BF745115F3FE}"/>
  </bookViews>
  <sheets>
    <sheet name="Main" sheetId="4" r:id="rId1"/>
    <sheet name="Experimental" sheetId="3" r:id="rId2"/>
    <sheet name="Raw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" i="4" l="1"/>
  <c r="AB8" i="4"/>
  <c r="AA8" i="4"/>
  <c r="Z8" i="4"/>
  <c r="V8" i="4"/>
  <c r="R8" i="4"/>
  <c r="N8" i="4"/>
  <c r="J8" i="4"/>
  <c r="F8" i="4"/>
  <c r="AC7" i="4"/>
  <c r="AB7" i="4"/>
  <c r="AA7" i="4"/>
  <c r="Z7" i="4"/>
  <c r="V7" i="4"/>
  <c r="R7" i="4"/>
  <c r="N7" i="4"/>
  <c r="J7" i="4"/>
  <c r="F7" i="4"/>
  <c r="AC6" i="4"/>
  <c r="AB6" i="4"/>
  <c r="AA6" i="4"/>
  <c r="Z6" i="4"/>
  <c r="V6" i="4"/>
  <c r="R6" i="4"/>
  <c r="N6" i="4"/>
  <c r="J6" i="4"/>
  <c r="F6" i="4"/>
  <c r="AC5" i="4"/>
  <c r="AB5" i="4"/>
  <c r="AA5" i="4"/>
  <c r="Z5" i="4"/>
  <c r="V5" i="4"/>
  <c r="R5" i="4"/>
  <c r="N5" i="4"/>
  <c r="J5" i="4"/>
  <c r="F5" i="4"/>
  <c r="Y46" i="3"/>
  <c r="X46" i="3"/>
  <c r="W46" i="3"/>
  <c r="Y45" i="3"/>
  <c r="X45" i="3"/>
  <c r="W45" i="3"/>
  <c r="Y44" i="3"/>
  <c r="X44" i="3"/>
  <c r="W44" i="3"/>
  <c r="AC33" i="3"/>
  <c r="AB33" i="3"/>
  <c r="AA33" i="3"/>
  <c r="AC32" i="3"/>
  <c r="AB32" i="3"/>
  <c r="AA32" i="3"/>
  <c r="AC31" i="3"/>
  <c r="AB31" i="3"/>
  <c r="AA31" i="3"/>
  <c r="AC30" i="3"/>
  <c r="AB30" i="3"/>
  <c r="AA30" i="3"/>
  <c r="AC20" i="3"/>
  <c r="AB20" i="3"/>
  <c r="AA20" i="3"/>
  <c r="AC19" i="3"/>
  <c r="AB19" i="3"/>
  <c r="AA19" i="3"/>
  <c r="AC18" i="3"/>
  <c r="AB18" i="3"/>
  <c r="AA18" i="3"/>
  <c r="AC17" i="3"/>
  <c r="AB17" i="3"/>
  <c r="AA17" i="3"/>
  <c r="AE7" i="3"/>
  <c r="AE5" i="3"/>
  <c r="AF5" i="3"/>
  <c r="AG5" i="3"/>
  <c r="AE6" i="3"/>
  <c r="AF6" i="3"/>
  <c r="AG6" i="3"/>
  <c r="AF7" i="3"/>
  <c r="AG7" i="3"/>
  <c r="AG4" i="3"/>
  <c r="AF4" i="3"/>
  <c r="AE4" i="3"/>
  <c r="S44" i="3"/>
  <c r="T44" i="3"/>
  <c r="U44" i="3"/>
  <c r="V44" i="3"/>
  <c r="S45" i="3"/>
  <c r="T45" i="3"/>
  <c r="U45" i="3"/>
  <c r="V45" i="3"/>
  <c r="S46" i="3"/>
  <c r="T46" i="3"/>
  <c r="U46" i="3"/>
  <c r="V46" i="3"/>
  <c r="T43" i="3"/>
  <c r="X43" i="3" s="1"/>
  <c r="U43" i="3"/>
  <c r="S43" i="3"/>
  <c r="Y43" i="3" s="1"/>
  <c r="W31" i="3"/>
  <c r="X31" i="3"/>
  <c r="Y31" i="3"/>
  <c r="Z31" i="3"/>
  <c r="W32" i="3"/>
  <c r="X32" i="3"/>
  <c r="Y32" i="3"/>
  <c r="Z32" i="3"/>
  <c r="W33" i="3"/>
  <c r="X33" i="3"/>
  <c r="Y33" i="3"/>
  <c r="Z33" i="3"/>
  <c r="X30" i="3"/>
  <c r="Y30" i="3"/>
  <c r="Z30" i="3"/>
  <c r="W30" i="3"/>
  <c r="R46" i="3"/>
  <c r="N46" i="3"/>
  <c r="J46" i="3"/>
  <c r="F46" i="3"/>
  <c r="R45" i="3"/>
  <c r="N45" i="3"/>
  <c r="J45" i="3"/>
  <c r="F45" i="3"/>
  <c r="R44" i="3"/>
  <c r="N44" i="3"/>
  <c r="J44" i="3"/>
  <c r="F44" i="3"/>
  <c r="R43" i="3"/>
  <c r="N43" i="3"/>
  <c r="J43" i="3"/>
  <c r="V43" i="3" s="1"/>
  <c r="F43" i="3"/>
  <c r="V33" i="3"/>
  <c r="R33" i="3"/>
  <c r="N33" i="3"/>
  <c r="J33" i="3"/>
  <c r="F33" i="3"/>
  <c r="V32" i="3"/>
  <c r="R32" i="3"/>
  <c r="N32" i="3"/>
  <c r="J32" i="3"/>
  <c r="F32" i="3"/>
  <c r="V31" i="3"/>
  <c r="R31" i="3"/>
  <c r="N31" i="3"/>
  <c r="J31" i="3"/>
  <c r="F31" i="3"/>
  <c r="V30" i="3"/>
  <c r="R30" i="3"/>
  <c r="N30" i="3"/>
  <c r="J30" i="3"/>
  <c r="F30" i="3"/>
  <c r="W18" i="3"/>
  <c r="X18" i="3"/>
  <c r="Y18" i="3"/>
  <c r="W19" i="3"/>
  <c r="X19" i="3"/>
  <c r="Y19" i="3"/>
  <c r="W20" i="3"/>
  <c r="X20" i="3"/>
  <c r="Y20" i="3"/>
  <c r="X17" i="3"/>
  <c r="Y17" i="3"/>
  <c r="W17" i="3"/>
  <c r="V20" i="3"/>
  <c r="R20" i="3"/>
  <c r="N20" i="3"/>
  <c r="J20" i="3"/>
  <c r="F20" i="3"/>
  <c r="V19" i="3"/>
  <c r="R19" i="3"/>
  <c r="N19" i="3"/>
  <c r="J19" i="3"/>
  <c r="F19" i="3"/>
  <c r="V18" i="3"/>
  <c r="R18" i="3"/>
  <c r="N18" i="3"/>
  <c r="J18" i="3"/>
  <c r="F18" i="3"/>
  <c r="V17" i="3"/>
  <c r="R17" i="3"/>
  <c r="N17" i="3"/>
  <c r="J17" i="3"/>
  <c r="F17" i="3"/>
  <c r="AA5" i="3"/>
  <c r="AB5" i="3"/>
  <c r="AD5" i="3" s="1"/>
  <c r="AC5" i="3"/>
  <c r="AA6" i="3"/>
  <c r="AB6" i="3"/>
  <c r="AC6" i="3"/>
  <c r="AA7" i="3"/>
  <c r="AB7" i="3"/>
  <c r="AC7" i="3"/>
  <c r="AB4" i="3"/>
  <c r="AC4" i="3"/>
  <c r="AA4" i="3"/>
  <c r="V5" i="3"/>
  <c r="V7" i="3"/>
  <c r="V6" i="3"/>
  <c r="V4" i="3"/>
  <c r="Z7" i="3"/>
  <c r="Z6" i="3"/>
  <c r="Z5" i="3"/>
  <c r="Z4" i="3"/>
  <c r="R7" i="3"/>
  <c r="R6" i="3"/>
  <c r="R5" i="3"/>
  <c r="R4" i="3"/>
  <c r="N7" i="3"/>
  <c r="N6" i="3"/>
  <c r="N5" i="3"/>
  <c r="N4" i="3"/>
  <c r="J7" i="3"/>
  <c r="J6" i="3"/>
  <c r="J5" i="3"/>
  <c r="J4" i="3"/>
  <c r="F5" i="3"/>
  <c r="F6" i="3"/>
  <c r="F7" i="3"/>
  <c r="F4" i="3"/>
  <c r="C33" i="1"/>
  <c r="D33" i="1"/>
  <c r="E33" i="1"/>
  <c r="C34" i="1"/>
  <c r="D34" i="1"/>
  <c r="E34" i="1"/>
  <c r="C35" i="1"/>
  <c r="D35" i="1"/>
  <c r="E35" i="1"/>
  <c r="D32" i="1"/>
  <c r="E32" i="1"/>
  <c r="C32" i="1"/>
  <c r="AD8" i="4" l="1"/>
  <c r="W43" i="3"/>
  <c r="AD6" i="4"/>
  <c r="AD7" i="4"/>
  <c r="AD5" i="4"/>
  <c r="Z20" i="3"/>
  <c r="Z17" i="3"/>
  <c r="Z19" i="3"/>
  <c r="AD7" i="3"/>
  <c r="AD6" i="3"/>
  <c r="Z18" i="3"/>
  <c r="AD4" i="3"/>
</calcChain>
</file>

<file path=xl/sharedStrings.xml><?xml version="1.0" encoding="utf-8"?>
<sst xmlns="http://schemas.openxmlformats.org/spreadsheetml/2006/main" count="263" uniqueCount="31">
  <si>
    <t>Copper</t>
  </si>
  <si>
    <t>Historic Report Comparison</t>
  </si>
  <si>
    <t>PEA</t>
  </si>
  <si>
    <t>PFS</t>
  </si>
  <si>
    <t>FS</t>
  </si>
  <si>
    <t>Bias to Trend Mean of Reported Data</t>
  </si>
  <si>
    <t>Bias to Trend Mean of Spot Data</t>
  </si>
  <si>
    <t>Bias to Trend Mean of 3-year</t>
  </si>
  <si>
    <t>Bias to Trend Mean of 5 year</t>
  </si>
  <si>
    <t>Exchange Rate</t>
  </si>
  <si>
    <t>Gold</t>
  </si>
  <si>
    <t>Lead</t>
  </si>
  <si>
    <t>Zinc</t>
  </si>
  <si>
    <t>Total</t>
  </si>
  <si>
    <t>Bias to Trend Mean of…</t>
  </si>
  <si>
    <t>Reported Data</t>
  </si>
  <si>
    <t>Spot Data</t>
  </si>
  <si>
    <t>5-Year Rolling</t>
  </si>
  <si>
    <t>3-Year Rolling</t>
  </si>
  <si>
    <t>0.29998717263486147</t>
  </si>
  <si>
    <t>0.16723265585220184</t>
  </si>
  <si>
    <t>2.5976017850716975</t>
  </si>
  <si>
    <t>3.441235125429537</t>
  </si>
  <si>
    <t>Silver</t>
  </si>
  <si>
    <t>Historic Report Comparison, Metal Only</t>
  </si>
  <si>
    <t>Historic Report Comparison, No lead</t>
  </si>
  <si>
    <t>Historic Report Comparison, No Lead + Metal Only</t>
  </si>
  <si>
    <t>TOTAL</t>
  </si>
  <si>
    <t>Difference from PEA</t>
  </si>
  <si>
    <t>Difference from PFS</t>
  </si>
  <si>
    <t>Difference from Mean of 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</si>
</sst>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quotePrefix="1"/>
    <xf numFmtId="2" fontId="0" fillId="0" borderId="0" xfId="0" applyNumberFormat="1"/>
    <xf numFmtId="2" fontId="0" fillId="0" borderId="0" xfId="0" quotePrefix="1" applyNumberFormat="1"/>
    <xf numFmtId="0" fontId="0" fillId="0" borderId="0" xfId="0" applyAlignment="1">
      <alignment horizontal="left"/>
    </xf>
    <xf numFmtId="0" fontId="0" fillId="0" borderId="4" xfId="0" applyBorder="1"/>
    <xf numFmtId="2" fontId="0" fillId="0" borderId="5" xfId="0" applyNumberFormat="1" applyBorder="1"/>
    <xf numFmtId="0" fontId="0" fillId="0" borderId="6" xfId="0" applyBorder="1"/>
    <xf numFmtId="2" fontId="0" fillId="0" borderId="7" xfId="0" applyNumberFormat="1" applyBorder="1"/>
    <xf numFmtId="0" fontId="0" fillId="0" borderId="7" xfId="0" quotePrefix="1" applyBorder="1"/>
    <xf numFmtId="2" fontId="0" fillId="0" borderId="8" xfId="0" applyNumberFormat="1" applyBorder="1"/>
    <xf numFmtId="2" fontId="0" fillId="0" borderId="10" xfId="0" applyNumberFormat="1" applyBorder="1"/>
    <xf numFmtId="2" fontId="0" fillId="0" borderId="9" xfId="0" applyNumberFormat="1" applyBorder="1"/>
    <xf numFmtId="2" fontId="0" fillId="0" borderId="11" xfId="0" applyNumberFormat="1" applyBorder="1"/>
    <xf numFmtId="0" fontId="0" fillId="0" borderId="11" xfId="0" quotePrefix="1" applyBorder="1"/>
    <xf numFmtId="0" fontId="0" fillId="0" borderId="12" xfId="0" quotePrefix="1" applyBorder="1"/>
    <xf numFmtId="0" fontId="0" fillId="0" borderId="11" xfId="0" applyBorder="1"/>
    <xf numFmtId="0" fontId="0" fillId="0" borderId="17" xfId="0" applyBorder="1"/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Border="1"/>
    <xf numFmtId="0" fontId="0" fillId="0" borderId="0" xfId="0" applyBorder="1"/>
    <xf numFmtId="2" fontId="0" fillId="0" borderId="0" xfId="0" quotePrefix="1" applyNumberFormat="1" applyBorder="1"/>
    <xf numFmtId="0" fontId="0" fillId="0" borderId="0" xfId="0" quotePrefix="1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3F1F-4059-457A-8AFD-361EE4969802}">
  <dimension ref="B1:AD8"/>
  <sheetViews>
    <sheetView tabSelected="1" zoomScale="70" zoomScaleNormal="70" workbookViewId="0">
      <selection activeCell="E14" sqref="E14"/>
    </sheetView>
  </sheetViews>
  <sheetFormatPr defaultRowHeight="15" x14ac:dyDescent="0.25"/>
  <cols>
    <col min="1" max="1" width="13.28515625" bestFit="1" customWidth="1"/>
    <col min="2" max="2" width="22" bestFit="1" customWidth="1"/>
  </cols>
  <sheetData>
    <row r="1" spans="2:30" ht="15.75" thickBot="1" x14ac:dyDescent="0.3"/>
    <row r="2" spans="2:30" ht="21" customHeight="1" x14ac:dyDescent="0.3">
      <c r="B2" s="21" t="s">
        <v>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3"/>
    </row>
    <row r="3" spans="2:30" x14ac:dyDescent="0.25">
      <c r="B3" s="17"/>
      <c r="C3" s="18" t="s">
        <v>0</v>
      </c>
      <c r="D3" s="19"/>
      <c r="E3" s="19"/>
      <c r="F3" s="20"/>
      <c r="G3" s="18" t="s">
        <v>9</v>
      </c>
      <c r="H3" s="19"/>
      <c r="I3" s="19"/>
      <c r="J3" s="20"/>
      <c r="K3" s="18" t="s">
        <v>10</v>
      </c>
      <c r="L3" s="19"/>
      <c r="M3" s="19"/>
      <c r="N3" s="20"/>
      <c r="O3" s="18" t="s">
        <v>11</v>
      </c>
      <c r="P3" s="19"/>
      <c r="Q3" s="19"/>
      <c r="R3" s="20"/>
      <c r="S3" s="18" t="s">
        <v>23</v>
      </c>
      <c r="T3" s="19"/>
      <c r="U3" s="19"/>
      <c r="V3" s="20"/>
      <c r="W3" s="18" t="s">
        <v>12</v>
      </c>
      <c r="X3" s="19"/>
      <c r="Y3" s="19"/>
      <c r="Z3" s="20"/>
      <c r="AA3" s="18" t="s">
        <v>27</v>
      </c>
      <c r="AB3" s="19"/>
      <c r="AC3" s="19"/>
      <c r="AD3" s="24"/>
    </row>
    <row r="4" spans="2:30" x14ac:dyDescent="0.25">
      <c r="B4" s="5" t="s">
        <v>14</v>
      </c>
      <c r="C4" s="13" t="s">
        <v>2</v>
      </c>
      <c r="D4" s="27" t="s">
        <v>3</v>
      </c>
      <c r="E4" s="27" t="s">
        <v>4</v>
      </c>
      <c r="F4" s="11" t="s">
        <v>13</v>
      </c>
      <c r="G4" s="13" t="s">
        <v>2</v>
      </c>
      <c r="H4" s="27" t="s">
        <v>3</v>
      </c>
      <c r="I4" s="27" t="s">
        <v>4</v>
      </c>
      <c r="J4" s="11" t="s">
        <v>13</v>
      </c>
      <c r="K4" s="13" t="s">
        <v>2</v>
      </c>
      <c r="L4" s="27" t="s">
        <v>3</v>
      </c>
      <c r="M4" s="27" t="s">
        <v>4</v>
      </c>
      <c r="N4" s="11" t="s">
        <v>13</v>
      </c>
      <c r="O4" s="13" t="s">
        <v>2</v>
      </c>
      <c r="P4" s="27" t="s">
        <v>3</v>
      </c>
      <c r="Q4" s="27" t="s">
        <v>4</v>
      </c>
      <c r="R4" s="11" t="s">
        <v>13</v>
      </c>
      <c r="S4" s="16" t="s">
        <v>2</v>
      </c>
      <c r="T4" s="28" t="s">
        <v>3</v>
      </c>
      <c r="U4" s="28" t="s">
        <v>4</v>
      </c>
      <c r="V4" s="11" t="s">
        <v>13</v>
      </c>
      <c r="W4" s="13" t="s">
        <v>2</v>
      </c>
      <c r="X4" s="27" t="s">
        <v>3</v>
      </c>
      <c r="Y4" s="27" t="s">
        <v>4</v>
      </c>
      <c r="Z4" s="11" t="s">
        <v>13</v>
      </c>
      <c r="AA4" s="27" t="s">
        <v>2</v>
      </c>
      <c r="AB4" s="27" t="s">
        <v>3</v>
      </c>
      <c r="AC4" s="27" t="s">
        <v>4</v>
      </c>
      <c r="AD4" s="6" t="s">
        <v>13</v>
      </c>
    </row>
    <row r="5" spans="2:30" x14ac:dyDescent="0.25">
      <c r="B5" s="5" t="s">
        <v>15</v>
      </c>
      <c r="C5" s="28">
        <v>5.5284428979769797E-2</v>
      </c>
      <c r="D5" s="28">
        <v>0.33529922276697199</v>
      </c>
      <c r="E5" s="28">
        <v>-3.9404122019446399</v>
      </c>
      <c r="F5" s="11">
        <f>AVERAGE(C5:E5)</f>
        <v>-1.1832761833992993</v>
      </c>
      <c r="G5" s="13">
        <v>-0.34042880084948002</v>
      </c>
      <c r="H5" s="27">
        <v>7.3485766217146406E-2</v>
      </c>
      <c r="I5" s="29">
        <v>0.19062258157020201</v>
      </c>
      <c r="J5" s="11">
        <f>AVERAGE(G5:I5)</f>
        <v>-2.5440151020710528E-2</v>
      </c>
      <c r="K5" s="28">
        <v>0.229730131343309</v>
      </c>
      <c r="L5" s="28">
        <v>-1.6087926583959999</v>
      </c>
      <c r="M5" s="28">
        <v>-0.76443187574747795</v>
      </c>
      <c r="N5" s="11">
        <f>AVERAGE(K5:M5)</f>
        <v>-0.71449813426672293</v>
      </c>
      <c r="O5" s="28">
        <v>-0.999862304366534</v>
      </c>
      <c r="P5" s="28">
        <v>0.49139225881688903</v>
      </c>
      <c r="Q5" s="28">
        <v>-2.00593822093147</v>
      </c>
      <c r="R5" s="11">
        <f>AVERAGE(O5:Q5)</f>
        <v>-0.83813608882703827</v>
      </c>
      <c r="S5" s="28">
        <v>-0.36965967401333999</v>
      </c>
      <c r="T5" s="28">
        <v>0.49195843494306701</v>
      </c>
      <c r="U5" s="28">
        <v>-4.0600834451494396</v>
      </c>
      <c r="V5" s="11">
        <f>AVERAGE(S5:U5)</f>
        <v>-1.3125948947399042</v>
      </c>
      <c r="W5" s="28">
        <v>-0.73937998445971398</v>
      </c>
      <c r="X5" s="28">
        <v>7.3355574331295204</v>
      </c>
      <c r="Y5" s="28">
        <v>-4.6954985809994296</v>
      </c>
      <c r="Z5" s="11">
        <f>AVERAGE(W5:Y5)</f>
        <v>0.63355962255679221</v>
      </c>
      <c r="AA5" s="27">
        <f>AVERAGE(C5,G5,K5,O5,S5,W5)</f>
        <v>-0.3607193672276649</v>
      </c>
      <c r="AB5" s="27">
        <f t="shared" ref="AB5:AC8" si="0">AVERAGE(D5,H5,L5,P5,T5,X5)</f>
        <v>1.1864834095795993</v>
      </c>
      <c r="AC5" s="27">
        <f t="shared" si="0"/>
        <v>-2.5459569572003762</v>
      </c>
      <c r="AD5" s="6">
        <f>AVERAGE(AA5:AC5)</f>
        <v>-0.57339763828281398</v>
      </c>
    </row>
    <row r="6" spans="2:30" x14ac:dyDescent="0.25">
      <c r="B6" s="5" t="s">
        <v>16</v>
      </c>
      <c r="C6" s="28">
        <v>-6.8548152287578503</v>
      </c>
      <c r="D6" s="28">
        <v>-8.7963235760002103</v>
      </c>
      <c r="E6" s="28">
        <v>-14.9689130380698</v>
      </c>
      <c r="F6" s="11">
        <f t="shared" ref="F6:F8" si="1">AVERAGE(C6:E6)</f>
        <v>-10.206683947609287</v>
      </c>
      <c r="G6" s="13">
        <v>-0.48931076852726502</v>
      </c>
      <c r="H6" s="30">
        <v>0.18789157951986801</v>
      </c>
      <c r="I6" s="27">
        <v>-0.14833541751993601</v>
      </c>
      <c r="J6" s="11">
        <f t="shared" ref="J6:J8" si="2">AVERAGE(G6:I6)</f>
        <v>-0.14991820217577767</v>
      </c>
      <c r="K6" s="28">
        <v>-13.5057057985663</v>
      </c>
      <c r="L6" s="28">
        <v>-16.620578468384799</v>
      </c>
      <c r="M6" s="28">
        <v>-13.876674628813401</v>
      </c>
      <c r="N6" s="11">
        <f t="shared" ref="N6:N8" si="3">AVERAGE(K6:M6)</f>
        <v>-14.667652965254833</v>
      </c>
      <c r="O6" s="28">
        <v>-2.7701232486361702</v>
      </c>
      <c r="P6" s="28">
        <v>-2.9767757194372399E-2</v>
      </c>
      <c r="Q6" s="28">
        <v>-5.3987540437695198</v>
      </c>
      <c r="R6" s="11">
        <f t="shared" ref="R6:R8" si="4">AVERAGE(O6:Q6)</f>
        <v>-2.7328816832000205</v>
      </c>
      <c r="S6" s="28">
        <v>-9.4845229044322608</v>
      </c>
      <c r="T6" s="28">
        <v>-5.9726100076373099</v>
      </c>
      <c r="U6" s="28">
        <v>-13.648565344050599</v>
      </c>
      <c r="V6" s="11">
        <f>AVERAGE(S6:U6)</f>
        <v>-9.7018994187067236</v>
      </c>
      <c r="W6" s="28">
        <v>-1.70208764976296</v>
      </c>
      <c r="X6" s="28">
        <v>9.3847725734983403</v>
      </c>
      <c r="Y6" s="28">
        <v>-9.2038189018445191</v>
      </c>
      <c r="Z6" s="11">
        <f t="shared" ref="Z6:Z8" si="5">AVERAGE(W6:Y6)</f>
        <v>-0.5070446593697131</v>
      </c>
      <c r="AA6" s="27">
        <f t="shared" ref="AA6:AA8" si="6">AVERAGE(C6,G6,K6,O6,S6,W6)</f>
        <v>-5.8010942664471346</v>
      </c>
      <c r="AB6" s="27">
        <f t="shared" si="0"/>
        <v>-3.6411026093664134</v>
      </c>
      <c r="AC6" s="27">
        <f t="shared" si="0"/>
        <v>-9.5408435623446302</v>
      </c>
      <c r="AD6" s="6">
        <f t="shared" ref="AD6:AD8" si="7">AVERAGE(AA6:AC6)</f>
        <v>-6.3276801460527254</v>
      </c>
    </row>
    <row r="7" spans="2:30" x14ac:dyDescent="0.25">
      <c r="B7" s="5" t="s">
        <v>18</v>
      </c>
      <c r="C7" s="28">
        <v>-4.4436978052933904</v>
      </c>
      <c r="D7" s="28">
        <v>-4.4183120622598597</v>
      </c>
      <c r="E7" s="28">
        <v>-8.0595909267262993</v>
      </c>
      <c r="F7" s="11">
        <f t="shared" si="1"/>
        <v>-5.6405335980931826</v>
      </c>
      <c r="G7" s="14">
        <v>1.1172753712694601</v>
      </c>
      <c r="H7" s="30">
        <v>1.2598903629062499</v>
      </c>
      <c r="I7" s="30">
        <v>1.87760590402237</v>
      </c>
      <c r="J7" s="11">
        <f t="shared" si="2"/>
        <v>1.4182572127326933</v>
      </c>
      <c r="K7" s="28">
        <v>-2.1668385149086902</v>
      </c>
      <c r="L7" s="28">
        <v>-2.6646164716019398</v>
      </c>
      <c r="M7" s="28">
        <v>-2.7202899971946</v>
      </c>
      <c r="N7" s="11">
        <f t="shared" si="3"/>
        <v>-2.5172483279017435</v>
      </c>
      <c r="O7" s="28">
        <v>-1.7332360823121</v>
      </c>
      <c r="P7" s="28">
        <v>2.4349549377171602</v>
      </c>
      <c r="Q7" s="28">
        <v>-2.00204513805433</v>
      </c>
      <c r="R7" s="11">
        <f t="shared" si="4"/>
        <v>-0.43344209421642327</v>
      </c>
      <c r="S7" s="28">
        <v>-4.2939134108117196</v>
      </c>
      <c r="T7" s="28">
        <v>-2.0717301798044501</v>
      </c>
      <c r="U7" s="28">
        <v>-7.0853377323985702</v>
      </c>
      <c r="V7" s="11">
        <f t="shared" ref="V7:V8" si="8">AVERAGE(S7:U7)</f>
        <v>-4.4836604410049139</v>
      </c>
      <c r="W7" s="28">
        <v>-2.2728260805766798</v>
      </c>
      <c r="X7" s="28">
        <v>7.8928532620940102</v>
      </c>
      <c r="Y7" s="28">
        <v>-4.9517222011411697</v>
      </c>
      <c r="Z7" s="11">
        <f t="shared" si="5"/>
        <v>0.22276832679205358</v>
      </c>
      <c r="AA7" s="27">
        <f t="shared" si="6"/>
        <v>-2.2988727537721867</v>
      </c>
      <c r="AB7" s="27">
        <f t="shared" si="0"/>
        <v>0.40550664150852844</v>
      </c>
      <c r="AC7" s="27">
        <f t="shared" si="0"/>
        <v>-3.8235633485820997</v>
      </c>
      <c r="AD7" s="6">
        <f t="shared" si="7"/>
        <v>-1.9056431536152527</v>
      </c>
    </row>
    <row r="8" spans="2:30" ht="15.75" thickBot="1" x14ac:dyDescent="0.3">
      <c r="B8" s="7" t="s">
        <v>17</v>
      </c>
      <c r="C8" s="31">
        <v>0.76783198517041795</v>
      </c>
      <c r="D8" s="31">
        <v>0.97552788405927404</v>
      </c>
      <c r="E8" s="31">
        <v>-1.8168188687736999</v>
      </c>
      <c r="F8" s="12">
        <f t="shared" si="1"/>
        <v>-2.4486333181335935E-2</v>
      </c>
      <c r="G8" s="15">
        <v>1.70316580000143</v>
      </c>
      <c r="H8" s="9">
        <v>1.5859594949499001</v>
      </c>
      <c r="I8" s="9">
        <v>2.2006005241125499</v>
      </c>
      <c r="J8" s="12">
        <f t="shared" si="2"/>
        <v>1.8299086063546266</v>
      </c>
      <c r="K8" s="31">
        <v>6.2523257988164804</v>
      </c>
      <c r="L8" s="31">
        <v>5.3877992664406298</v>
      </c>
      <c r="M8" s="31">
        <v>5.6853025640938997</v>
      </c>
      <c r="N8" s="12">
        <f t="shared" si="3"/>
        <v>5.7751425431170027</v>
      </c>
      <c r="O8" s="31">
        <v>0.74077789735909405</v>
      </c>
      <c r="P8" s="31">
        <v>2.83306120909109</v>
      </c>
      <c r="Q8" s="31">
        <v>-0.74384396995052904</v>
      </c>
      <c r="R8" s="12">
        <f t="shared" si="4"/>
        <v>0.94333171216655176</v>
      </c>
      <c r="S8" s="31">
        <v>2.2310421687098301</v>
      </c>
      <c r="T8" s="31">
        <v>3.2006517929242499</v>
      </c>
      <c r="U8" s="31">
        <v>0.13277141726045999</v>
      </c>
      <c r="V8" s="12">
        <f t="shared" si="8"/>
        <v>1.8548217929648467</v>
      </c>
      <c r="W8" s="31">
        <v>-0.89908117885011496</v>
      </c>
      <c r="X8" s="31">
        <v>14.3007492351146</v>
      </c>
      <c r="Y8" s="31">
        <v>-2.6454342795305701</v>
      </c>
      <c r="Z8" s="12">
        <f t="shared" si="5"/>
        <v>3.585411258911305</v>
      </c>
      <c r="AA8" s="8">
        <f t="shared" si="6"/>
        <v>1.7993437452011893</v>
      </c>
      <c r="AB8" s="8">
        <f t="shared" si="0"/>
        <v>4.7139581470966236</v>
      </c>
      <c r="AC8" s="8">
        <f t="shared" si="0"/>
        <v>0.46876289786868508</v>
      </c>
      <c r="AD8" s="10">
        <f t="shared" si="7"/>
        <v>2.3273549300554994</v>
      </c>
    </row>
  </sheetData>
  <mergeCells count="8">
    <mergeCell ref="C3:F3"/>
    <mergeCell ref="B2:AD2"/>
    <mergeCell ref="AA3:AD3"/>
    <mergeCell ref="W3:Z3"/>
    <mergeCell ref="S3:V3"/>
    <mergeCell ref="O3:R3"/>
    <mergeCell ref="K3:N3"/>
    <mergeCell ref="G3:J3"/>
  </mergeCells>
  <conditionalFormatting sqref="C4:AD8 C3 AA3 W3 S3 O3 K3 G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 W3 C3 O3 K3 AA3 C4:R8 W4:AC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:V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:AD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D0298-5182-4E74-8598-EA308A38D552}">
  <dimension ref="B1:AG46"/>
  <sheetViews>
    <sheetView workbookViewId="0">
      <selection activeCell="G37" sqref="G37"/>
    </sheetView>
  </sheetViews>
  <sheetFormatPr defaultRowHeight="15" x14ac:dyDescent="0.25"/>
  <cols>
    <col min="2" max="2" width="33.42578125" bestFit="1" customWidth="1"/>
    <col min="3" max="6" width="9.140625" style="2"/>
    <col min="31" max="31" width="18.42578125" bestFit="1" customWidth="1"/>
    <col min="32" max="32" width="18.28515625" bestFit="1" customWidth="1"/>
    <col min="33" max="33" width="26.85546875" bestFit="1" customWidth="1"/>
  </cols>
  <sheetData>
    <row r="1" spans="2:33" x14ac:dyDescent="0.25">
      <c r="B1" s="25" t="s">
        <v>1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2:33" x14ac:dyDescent="0.25">
      <c r="C2" s="26" t="s">
        <v>0</v>
      </c>
      <c r="D2" s="26"/>
      <c r="E2" s="26"/>
      <c r="F2" s="26"/>
      <c r="G2" s="26" t="s">
        <v>9</v>
      </c>
      <c r="H2" s="26"/>
      <c r="I2" s="26"/>
      <c r="J2" s="26"/>
      <c r="K2" s="26" t="s">
        <v>10</v>
      </c>
      <c r="L2" s="26"/>
      <c r="M2" s="26"/>
      <c r="N2" s="26"/>
      <c r="O2" s="26" t="s">
        <v>11</v>
      </c>
      <c r="P2" s="26"/>
      <c r="Q2" s="26"/>
      <c r="R2" s="26"/>
      <c r="S2" s="26" t="s">
        <v>23</v>
      </c>
      <c r="T2" s="26"/>
      <c r="U2" s="26"/>
      <c r="V2" s="26"/>
      <c r="W2" s="26" t="s">
        <v>12</v>
      </c>
      <c r="X2" s="26"/>
      <c r="Y2" s="26"/>
      <c r="Z2" s="26"/>
      <c r="AA2" s="26" t="s">
        <v>27</v>
      </c>
      <c r="AB2" s="26"/>
      <c r="AC2" s="26"/>
      <c r="AD2" s="26"/>
    </row>
    <row r="3" spans="2:33" x14ac:dyDescent="0.25">
      <c r="B3" t="s">
        <v>14</v>
      </c>
      <c r="C3" s="2" t="s">
        <v>2</v>
      </c>
      <c r="D3" s="2" t="s">
        <v>3</v>
      </c>
      <c r="E3" s="2" t="s">
        <v>4</v>
      </c>
      <c r="F3" s="2" t="s">
        <v>13</v>
      </c>
      <c r="G3" s="2" t="s">
        <v>2</v>
      </c>
      <c r="H3" s="2" t="s">
        <v>3</v>
      </c>
      <c r="I3" s="2" t="s">
        <v>4</v>
      </c>
      <c r="J3" s="2" t="s">
        <v>13</v>
      </c>
      <c r="K3" s="2" t="s">
        <v>2</v>
      </c>
      <c r="L3" s="2" t="s">
        <v>3</v>
      </c>
      <c r="M3" s="2" t="s">
        <v>4</v>
      </c>
      <c r="N3" s="2" t="s">
        <v>13</v>
      </c>
      <c r="O3" s="2" t="s">
        <v>2</v>
      </c>
      <c r="P3" s="2" t="s">
        <v>3</v>
      </c>
      <c r="Q3" s="2" t="s">
        <v>4</v>
      </c>
      <c r="R3" s="2" t="s">
        <v>13</v>
      </c>
      <c r="S3" t="s">
        <v>2</v>
      </c>
      <c r="T3" t="s">
        <v>3</v>
      </c>
      <c r="U3" t="s">
        <v>4</v>
      </c>
      <c r="V3" s="2" t="s">
        <v>13</v>
      </c>
      <c r="W3" s="2" t="s">
        <v>2</v>
      </c>
      <c r="X3" s="2" t="s">
        <v>3</v>
      </c>
      <c r="Y3" s="2" t="s">
        <v>4</v>
      </c>
      <c r="Z3" s="2" t="s">
        <v>13</v>
      </c>
      <c r="AA3" s="2" t="s">
        <v>2</v>
      </c>
      <c r="AB3" s="2" t="s">
        <v>3</v>
      </c>
      <c r="AC3" s="2" t="s">
        <v>4</v>
      </c>
      <c r="AD3" s="2" t="s">
        <v>13</v>
      </c>
      <c r="AE3" s="2" t="s">
        <v>28</v>
      </c>
      <c r="AF3" s="2" t="s">
        <v>29</v>
      </c>
      <c r="AG3" s="2" t="s">
        <v>30</v>
      </c>
    </row>
    <row r="4" spans="2:33" x14ac:dyDescent="0.25">
      <c r="B4" t="s">
        <v>15</v>
      </c>
      <c r="C4" s="2">
        <v>-1.6598806331024201</v>
      </c>
      <c r="D4" s="2">
        <v>3.9229881590050801E-2</v>
      </c>
      <c r="E4" s="2">
        <v>-2.6655077351007699</v>
      </c>
      <c r="F4" s="2">
        <f>AVERAGE(C4:E4)</f>
        <v>-1.4287194955377132</v>
      </c>
      <c r="G4" s="2">
        <v>-0.34042880084948002</v>
      </c>
      <c r="H4" s="2">
        <v>7.3485766217146406E-2</v>
      </c>
      <c r="I4" s="3">
        <v>0.19062258157020201</v>
      </c>
      <c r="J4" s="2">
        <f>AVERAGE(G4:I4)</f>
        <v>-2.5440151020710528E-2</v>
      </c>
      <c r="K4" s="2">
        <v>4.3834001081874303E-2</v>
      </c>
      <c r="L4" s="2">
        <v>-2.0116233336337701</v>
      </c>
      <c r="M4" s="2">
        <v>-1.18242264396282</v>
      </c>
      <c r="N4" s="2">
        <f>AVERAGE(K4:M4)</f>
        <v>-1.0500706588382387</v>
      </c>
      <c r="O4" s="2">
        <v>-2.00731003120536</v>
      </c>
      <c r="P4" s="2">
        <v>-1.97991679794899</v>
      </c>
      <c r="Q4" s="2">
        <v>-2.0831813030370201</v>
      </c>
      <c r="R4" s="2">
        <f>AVERAGE(O4:Q4)</f>
        <v>-2.0234693773971233</v>
      </c>
      <c r="S4" s="1">
        <v>0.29998717263486102</v>
      </c>
      <c r="T4" s="1">
        <v>0.16723265585220101</v>
      </c>
      <c r="U4">
        <v>-2.45804934840461</v>
      </c>
      <c r="V4" s="2">
        <f>AVERAGE(S4:U4)</f>
        <v>-0.66360983997251599</v>
      </c>
      <c r="W4" s="1">
        <v>0.65510479540002597</v>
      </c>
      <c r="X4" s="2">
        <v>-7.5555977013029896</v>
      </c>
      <c r="Y4" s="2">
        <v>-2.3532332991206801</v>
      </c>
      <c r="Z4" s="2">
        <f>AVERAGE(W4:Y4)</f>
        <v>-3.0845754016745475</v>
      </c>
      <c r="AA4" s="2">
        <f>AVERAGE(C4,G4,K4,O4,S4,W4)</f>
        <v>-0.50144891600674979</v>
      </c>
      <c r="AB4" s="2">
        <f t="shared" ref="AB4:AC4" si="0">AVERAGE(D4,H4,L4,P4,T4,X4)</f>
        <v>-1.8778649215377252</v>
      </c>
      <c r="AC4" s="2">
        <f t="shared" si="0"/>
        <v>-1.7586286246759497</v>
      </c>
      <c r="AD4" s="2">
        <f>AVERAGE(AA4:AC4)</f>
        <v>-1.3793141540734748</v>
      </c>
      <c r="AE4">
        <f>(1-ABS(AC4/AA4))*100</f>
        <v>-250.70942792750549</v>
      </c>
      <c r="AF4">
        <f>(1-ABS(AC4/AB4))*100</f>
        <v>6.349567292845359</v>
      </c>
      <c r="AG4">
        <f>(1-ABS(AC4/AVERAGE(AB4,AA4)))*100</f>
        <v>-47.826536955789621</v>
      </c>
    </row>
    <row r="5" spans="2:33" x14ac:dyDescent="0.25">
      <c r="B5" t="s">
        <v>16</v>
      </c>
      <c r="C5" s="2">
        <v>-6.9042489214227496</v>
      </c>
      <c r="D5" s="2">
        <v>-7.6516089047272597</v>
      </c>
      <c r="E5" s="2">
        <v>-10.3565876467701</v>
      </c>
      <c r="F5" s="2">
        <f t="shared" ref="F5:F7" si="1">AVERAGE(C5:E5)</f>
        <v>-8.30414849097337</v>
      </c>
      <c r="G5" s="2">
        <v>-0.48931076852726502</v>
      </c>
      <c r="H5" s="1">
        <v>0.18789157951986801</v>
      </c>
      <c r="I5" s="2">
        <v>-0.14833541751993601</v>
      </c>
      <c r="J5" s="2">
        <f t="shared" ref="J5:J7" si="2">AVERAGE(G5:I5)</f>
        <v>-0.14991820217577767</v>
      </c>
      <c r="K5" s="2">
        <v>-12.8998979206628</v>
      </c>
      <c r="L5" s="2">
        <v>-15.801611246268999</v>
      </c>
      <c r="M5" s="2">
        <v>-13.023370773834399</v>
      </c>
      <c r="N5" s="2">
        <f t="shared" ref="N5:N7" si="3">AVERAGE(K5:M5)</f>
        <v>-13.908293313588734</v>
      </c>
      <c r="O5" s="2">
        <v>-1.50077828130791</v>
      </c>
      <c r="P5" s="2">
        <v>-7.3571754385431301E-2</v>
      </c>
      <c r="Q5" s="2">
        <v>-4.1953797210389698</v>
      </c>
      <c r="R5" s="2">
        <f t="shared" ref="R5:R7" si="4">AVERAGE(O5:Q5)</f>
        <v>-1.9232432522441039</v>
      </c>
      <c r="S5">
        <v>-8.3042059031807902</v>
      </c>
      <c r="T5">
        <v>-5.5385481205081204</v>
      </c>
      <c r="U5">
        <v>-11.4336142119586</v>
      </c>
      <c r="V5" s="2">
        <f>AVERAGE(S5:U5)</f>
        <v>-8.4254560785491694</v>
      </c>
      <c r="W5" s="1">
        <v>0.46625339267382898</v>
      </c>
      <c r="X5" s="2">
        <v>-3.6807007622627701</v>
      </c>
      <c r="Y5" s="2">
        <v>-5.37520149517999</v>
      </c>
      <c r="Z5" s="2">
        <f t="shared" ref="Z5:Z7" si="5">AVERAGE(W5:Y5)</f>
        <v>-2.8632162882563104</v>
      </c>
      <c r="AA5" s="2">
        <f t="shared" ref="AA5:AA7" si="6">AVERAGE(C5,G5,K5,O5,S5,W5)</f>
        <v>-4.9386980670712815</v>
      </c>
      <c r="AB5" s="2">
        <f t="shared" ref="AB5:AB7" si="7">AVERAGE(D5,H5,L5,P5,T5,X5)</f>
        <v>-5.4263582014387852</v>
      </c>
      <c r="AC5" s="2">
        <f t="shared" ref="AC5:AC7" si="8">AVERAGE(E5,I5,M5,Q5,U5,Y5)</f>
        <v>-7.4220815443836656</v>
      </c>
      <c r="AD5" s="2">
        <f t="shared" ref="AD5:AD7" si="9">AVERAGE(AA5:AC5)</f>
        <v>-5.9290459376312441</v>
      </c>
      <c r="AE5">
        <f t="shared" ref="AE5:AE6" si="10">(1-ABS(AC5/AA5))*100</f>
        <v>-50.284172945706437</v>
      </c>
      <c r="AF5">
        <f t="shared" ref="AF5:AF7" si="11">(1-ABS(AC5/AB5))*100</f>
        <v>-36.778319249468638</v>
      </c>
      <c r="AG5">
        <f t="shared" ref="AG5:AG7" si="12">(1-ABS(AC5/AVERAGE(AB5,AA5)))*100</f>
        <v>-43.213531159161931</v>
      </c>
    </row>
    <row r="6" spans="2:33" x14ac:dyDescent="0.25">
      <c r="B6" t="s">
        <v>18</v>
      </c>
      <c r="C6" s="2">
        <v>-4.9380208061815702</v>
      </c>
      <c r="D6" s="2">
        <v>-3.24138405306116</v>
      </c>
      <c r="E6" s="2">
        <v>-5.9639320656306598</v>
      </c>
      <c r="F6" s="2">
        <f t="shared" si="1"/>
        <v>-4.7144456416244633</v>
      </c>
      <c r="G6" s="1">
        <v>1.1172753712694601</v>
      </c>
      <c r="H6" s="1">
        <v>1.2598903629062499</v>
      </c>
      <c r="I6" s="1">
        <v>1.87760590402237</v>
      </c>
      <c r="J6" s="2">
        <f t="shared" si="2"/>
        <v>1.4182572127326933</v>
      </c>
      <c r="K6" s="2">
        <v>-1.6574957842456199</v>
      </c>
      <c r="L6" s="2">
        <v>-2.03395882438631</v>
      </c>
      <c r="M6" s="2">
        <v>-2.5436715500948801</v>
      </c>
      <c r="N6" s="2">
        <f t="shared" si="3"/>
        <v>-2.07837538624227</v>
      </c>
      <c r="O6" s="2">
        <v>-0.95492383475544196</v>
      </c>
      <c r="P6" s="1">
        <v>2.4062618784872201</v>
      </c>
      <c r="Q6" s="1">
        <v>1.0714573346326</v>
      </c>
      <c r="R6" s="2">
        <f t="shared" si="4"/>
        <v>0.84093179278812602</v>
      </c>
      <c r="S6">
        <v>-3.9677195448287899</v>
      </c>
      <c r="T6">
        <v>-1.94149782973533</v>
      </c>
      <c r="U6">
        <v>-6.48837895102705</v>
      </c>
      <c r="V6" s="2">
        <f t="shared" ref="V6:V7" si="13">AVERAGE(S6:U6)</f>
        <v>-4.1325321085303903</v>
      </c>
      <c r="W6" s="2">
        <v>-1.0476878936551799</v>
      </c>
      <c r="X6" s="2">
        <v>-0.73689978998536299</v>
      </c>
      <c r="Y6" s="2">
        <v>-3.5628260819466502</v>
      </c>
      <c r="Z6" s="2">
        <f t="shared" si="5"/>
        <v>-1.7824712551957311</v>
      </c>
      <c r="AA6" s="2">
        <f t="shared" si="6"/>
        <v>-1.9080954153995238</v>
      </c>
      <c r="AB6" s="2">
        <f t="shared" si="7"/>
        <v>-0.71459804262911542</v>
      </c>
      <c r="AC6" s="2">
        <f t="shared" si="8"/>
        <v>-2.6016242350073786</v>
      </c>
      <c r="AD6" s="2">
        <f t="shared" si="9"/>
        <v>-1.7414392310120057</v>
      </c>
      <c r="AE6">
        <f t="shared" si="10"/>
        <v>-36.346653003337437</v>
      </c>
      <c r="AF6">
        <f t="shared" si="11"/>
        <v>-264.06820055588247</v>
      </c>
      <c r="AG6">
        <f t="shared" si="12"/>
        <v>-98.393314098011501</v>
      </c>
    </row>
    <row r="7" spans="2:33" x14ac:dyDescent="0.25">
      <c r="B7" t="s">
        <v>17</v>
      </c>
      <c r="C7" s="2">
        <v>-0.12313457869133999</v>
      </c>
      <c r="D7" s="3">
        <v>2.0862767122469901</v>
      </c>
      <c r="E7" s="2">
        <v>-1.45459481477041</v>
      </c>
      <c r="F7" s="2">
        <f t="shared" si="1"/>
        <v>0.16951577292841336</v>
      </c>
      <c r="G7" s="1">
        <v>1.70316580000143</v>
      </c>
      <c r="H7" s="1">
        <v>1.5859594949499001</v>
      </c>
      <c r="I7" s="1">
        <v>2.2006005241125499</v>
      </c>
      <c r="J7" s="2">
        <f t="shared" si="2"/>
        <v>1.8299086063546266</v>
      </c>
      <c r="K7" s="1">
        <v>6.8214877706694503</v>
      </c>
      <c r="L7" s="1">
        <v>6.1214205224926799</v>
      </c>
      <c r="M7" s="1">
        <v>5.7156670480857104</v>
      </c>
      <c r="N7" s="2">
        <f t="shared" si="3"/>
        <v>6.2195251137492802</v>
      </c>
      <c r="O7" s="1">
        <v>0.51508250998499605</v>
      </c>
      <c r="P7" s="2">
        <v>2.9161601720508199</v>
      </c>
      <c r="Q7" s="1">
        <v>0.99790664199626899</v>
      </c>
      <c r="R7" s="2">
        <f t="shared" si="4"/>
        <v>1.4763831080106951</v>
      </c>
      <c r="S7" s="1">
        <v>2.5976017850716899</v>
      </c>
      <c r="T7" s="1">
        <v>3.4412351254295301</v>
      </c>
      <c r="U7">
        <v>6.8838386731487802E-2</v>
      </c>
      <c r="V7" s="2">
        <f t="shared" si="13"/>
        <v>2.0358917657442359</v>
      </c>
      <c r="W7" s="2">
        <v>-0.89023098575103099</v>
      </c>
      <c r="X7" s="1">
        <v>2.8988714990951299</v>
      </c>
      <c r="Y7" s="2">
        <v>-2.06059102883698</v>
      </c>
      <c r="Z7" s="2">
        <f t="shared" si="5"/>
        <v>-1.7316838497626996E-2</v>
      </c>
      <c r="AA7" s="2">
        <f t="shared" si="6"/>
        <v>1.770662050214199</v>
      </c>
      <c r="AB7" s="2">
        <f t="shared" si="7"/>
        <v>3.1749872543775077</v>
      </c>
      <c r="AC7" s="2">
        <f t="shared" si="8"/>
        <v>0.91130445955310468</v>
      </c>
      <c r="AD7" s="2">
        <f t="shared" si="9"/>
        <v>1.9523179213816038</v>
      </c>
      <c r="AE7">
        <f>(1-ABS(AC7/AA7))*100</f>
        <v>48.533122995273828</v>
      </c>
      <c r="AF7">
        <f t="shared" si="11"/>
        <v>71.297382114002346</v>
      </c>
      <c r="AG7">
        <f t="shared" si="12"/>
        <v>63.147226848170611</v>
      </c>
    </row>
    <row r="14" spans="2:33" x14ac:dyDescent="0.25">
      <c r="B14" s="25" t="s">
        <v>24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2:33" x14ac:dyDescent="0.25">
      <c r="C15" s="26" t="s">
        <v>0</v>
      </c>
      <c r="D15" s="26"/>
      <c r="E15" s="26"/>
      <c r="F15" s="26"/>
      <c r="G15" s="26" t="s">
        <v>10</v>
      </c>
      <c r="H15" s="26"/>
      <c r="I15" s="26"/>
      <c r="J15" s="26"/>
      <c r="K15" s="26" t="s">
        <v>11</v>
      </c>
      <c r="L15" s="26"/>
      <c r="M15" s="26"/>
      <c r="N15" s="26"/>
      <c r="O15" s="26" t="s">
        <v>23</v>
      </c>
      <c r="P15" s="26"/>
      <c r="Q15" s="26"/>
      <c r="R15" s="26"/>
      <c r="S15" s="26" t="s">
        <v>12</v>
      </c>
      <c r="T15" s="26"/>
      <c r="U15" s="26"/>
      <c r="V15" s="26"/>
      <c r="W15" s="26" t="s">
        <v>27</v>
      </c>
      <c r="X15" s="26"/>
      <c r="Y15" s="26"/>
      <c r="Z15" s="26"/>
    </row>
    <row r="16" spans="2:33" x14ac:dyDescent="0.25">
      <c r="B16" t="s">
        <v>14</v>
      </c>
      <c r="C16" s="2" t="s">
        <v>2</v>
      </c>
      <c r="D16" s="2" t="s">
        <v>3</v>
      </c>
      <c r="E16" s="2" t="s">
        <v>4</v>
      </c>
      <c r="F16" s="2" t="s">
        <v>13</v>
      </c>
      <c r="G16" s="2" t="s">
        <v>2</v>
      </c>
      <c r="H16" s="2" t="s">
        <v>3</v>
      </c>
      <c r="I16" s="2" t="s">
        <v>4</v>
      </c>
      <c r="J16" s="2" t="s">
        <v>13</v>
      </c>
      <c r="K16" s="2" t="s">
        <v>2</v>
      </c>
      <c r="L16" s="2" t="s">
        <v>3</v>
      </c>
      <c r="M16" s="2" t="s">
        <v>4</v>
      </c>
      <c r="N16" s="2" t="s">
        <v>13</v>
      </c>
      <c r="O16" t="s">
        <v>2</v>
      </c>
      <c r="P16" t="s">
        <v>3</v>
      </c>
      <c r="Q16" t="s">
        <v>4</v>
      </c>
      <c r="R16" s="2" t="s">
        <v>13</v>
      </c>
      <c r="S16" s="2" t="s">
        <v>2</v>
      </c>
      <c r="T16" s="2" t="s">
        <v>3</v>
      </c>
      <c r="U16" s="2" t="s">
        <v>4</v>
      </c>
      <c r="V16" s="2" t="s">
        <v>13</v>
      </c>
      <c r="W16" s="2" t="s">
        <v>2</v>
      </c>
      <c r="X16" s="2" t="s">
        <v>3</v>
      </c>
      <c r="Y16" s="2" t="s">
        <v>4</v>
      </c>
      <c r="Z16" s="2" t="s">
        <v>13</v>
      </c>
      <c r="AA16" s="2" t="s">
        <v>28</v>
      </c>
      <c r="AB16" s="2" t="s">
        <v>29</v>
      </c>
      <c r="AC16" s="2" t="s">
        <v>30</v>
      </c>
    </row>
    <row r="17" spans="2:29" x14ac:dyDescent="0.25">
      <c r="B17" t="s">
        <v>15</v>
      </c>
      <c r="C17" s="2">
        <v>-1.6598806331024201</v>
      </c>
      <c r="D17" s="2">
        <v>3.9229881590050801E-2</v>
      </c>
      <c r="E17" s="2">
        <v>-2.6655077351007699</v>
      </c>
      <c r="F17" s="2">
        <f>AVERAGE(C17:E17)</f>
        <v>-1.4287194955377132</v>
      </c>
      <c r="G17" s="2">
        <v>4.3834001081874303E-2</v>
      </c>
      <c r="H17" s="2">
        <v>-2.0116233336337701</v>
      </c>
      <c r="I17" s="2">
        <v>-1.18242264396282</v>
      </c>
      <c r="J17" s="2">
        <f>AVERAGE(G17:I17)</f>
        <v>-1.0500706588382387</v>
      </c>
      <c r="K17" s="2">
        <v>-2.00731003120536</v>
      </c>
      <c r="L17" s="2">
        <v>-1.97991679794899</v>
      </c>
      <c r="M17" s="2">
        <v>-2.0831813030370201</v>
      </c>
      <c r="N17" s="2">
        <f>AVERAGE(K17:M17)</f>
        <v>-2.0234693773971233</v>
      </c>
      <c r="O17" s="1">
        <v>0.29998717263486102</v>
      </c>
      <c r="P17" s="1">
        <v>0.16723265585220101</v>
      </c>
      <c r="Q17">
        <v>-2.45804934840461</v>
      </c>
      <c r="R17" s="2">
        <f>AVERAGE(O17:Q17)</f>
        <v>-0.66360983997251599</v>
      </c>
      <c r="S17" s="1">
        <v>0.65510479540002597</v>
      </c>
      <c r="T17" s="2">
        <v>-7.5555977013029896</v>
      </c>
      <c r="U17" s="2">
        <v>-2.3532332991206801</v>
      </c>
      <c r="V17" s="2">
        <f>AVERAGE(S17:U17)</f>
        <v>-3.0845754016745475</v>
      </c>
      <c r="W17" s="2">
        <f>AVERAGE(C17,G17,K17,O17,S17)</f>
        <v>-0.53365293903820377</v>
      </c>
      <c r="X17" s="2">
        <f t="shared" ref="X17:Y17" si="14">AVERAGE(D17,H17,L17,P17,T17)</f>
        <v>-2.2681350590886997</v>
      </c>
      <c r="Y17" s="2">
        <f t="shared" si="14"/>
        <v>-2.1484788659251803</v>
      </c>
      <c r="Z17" s="2">
        <f>AVERAGE(W17:Y17)</f>
        <v>-1.6500889546840281</v>
      </c>
      <c r="AA17">
        <f>(1-ABS(Y17/W17))*100</f>
        <v>-302.59852588788465</v>
      </c>
      <c r="AB17">
        <f>(1-ABS(Y17/X17))*100</f>
        <v>5.2755321022018524</v>
      </c>
      <c r="AC17">
        <f>(1-ABS(Y17/AVERAGE(X17,W17)))*100</f>
        <v>-53.364841833965748</v>
      </c>
    </row>
    <row r="18" spans="2:29" x14ac:dyDescent="0.25">
      <c r="B18" t="s">
        <v>16</v>
      </c>
      <c r="C18" s="2">
        <v>-6.9042489214227496</v>
      </c>
      <c r="D18" s="2">
        <v>-7.6516089047272597</v>
      </c>
      <c r="E18" s="2">
        <v>-10.3565876467701</v>
      </c>
      <c r="F18" s="2">
        <f t="shared" ref="F18:F20" si="15">AVERAGE(C18:E18)</f>
        <v>-8.30414849097337</v>
      </c>
      <c r="G18" s="2">
        <v>-12.8998979206628</v>
      </c>
      <c r="H18" s="2">
        <v>-15.801611246268999</v>
      </c>
      <c r="I18" s="2">
        <v>-13.023370773834399</v>
      </c>
      <c r="J18" s="2">
        <f t="shared" ref="J18:J20" si="16">AVERAGE(G18:I18)</f>
        <v>-13.908293313588734</v>
      </c>
      <c r="K18" s="2">
        <v>-1.50077828130791</v>
      </c>
      <c r="L18" s="2">
        <v>-7.3571754385431301E-2</v>
      </c>
      <c r="M18" s="2">
        <v>-4.1953797210389698</v>
      </c>
      <c r="N18" s="2">
        <f t="shared" ref="N18:N20" si="17">AVERAGE(K18:M18)</f>
        <v>-1.9232432522441039</v>
      </c>
      <c r="O18">
        <v>-8.3042059031807902</v>
      </c>
      <c r="P18">
        <v>-5.5385481205081204</v>
      </c>
      <c r="Q18">
        <v>-11.4336142119586</v>
      </c>
      <c r="R18" s="2">
        <f>AVERAGE(O18:Q18)</f>
        <v>-8.4254560785491694</v>
      </c>
      <c r="S18" s="1">
        <v>0.46625339267382898</v>
      </c>
      <c r="T18" s="2">
        <v>-3.6807007622627701</v>
      </c>
      <c r="U18" s="2">
        <v>-5.37520149517999</v>
      </c>
      <c r="V18" s="2">
        <f t="shared" ref="V18:V20" si="18">AVERAGE(S18:U18)</f>
        <v>-2.8632162882563104</v>
      </c>
      <c r="W18" s="2">
        <f t="shared" ref="W18:W20" si="19">AVERAGE(C18,G18,K18,O18,S18)</f>
        <v>-5.8285755267800843</v>
      </c>
      <c r="X18" s="2">
        <f t="shared" ref="X18:X20" si="20">AVERAGE(D18,H18,L18,P18,T18)</f>
        <v>-6.5492081576305168</v>
      </c>
      <c r="Y18" s="2">
        <f t="shared" ref="Y18:Y20" si="21">AVERAGE(E18,I18,M18,Q18,U18)</f>
        <v>-8.8768307697564133</v>
      </c>
      <c r="Z18" s="2">
        <f t="shared" ref="Z18:Z20" si="22">AVERAGE(W18:Y18)</f>
        <v>-7.0848714847223384</v>
      </c>
      <c r="AA18">
        <f t="shared" ref="AA18:AA19" si="23">(1-ABS(Y18/W18))*100</f>
        <v>-52.298460043466143</v>
      </c>
      <c r="AB18">
        <f t="shared" ref="AB18:AB20" si="24">(1-ABS(Y18/X18))*100</f>
        <v>-35.540519649142176</v>
      </c>
      <c r="AC18">
        <f t="shared" ref="AC18:AC20" si="25">(1-ABS(Y18/AVERAGE(X18,W18)))*100</f>
        <v>-43.431667511470252</v>
      </c>
    </row>
    <row r="19" spans="2:29" x14ac:dyDescent="0.25">
      <c r="B19" t="s">
        <v>18</v>
      </c>
      <c r="C19" s="2">
        <v>-4.9380208061815702</v>
      </c>
      <c r="D19" s="2">
        <v>-3.24138405306116</v>
      </c>
      <c r="E19" s="2">
        <v>-5.9639320656306598</v>
      </c>
      <c r="F19" s="2">
        <f t="shared" si="15"/>
        <v>-4.7144456416244633</v>
      </c>
      <c r="G19" s="2">
        <v>-1.6574957842456199</v>
      </c>
      <c r="H19" s="2">
        <v>-2.03395882438631</v>
      </c>
      <c r="I19" s="2">
        <v>-2.5436715500948801</v>
      </c>
      <c r="J19" s="2">
        <f t="shared" si="16"/>
        <v>-2.07837538624227</v>
      </c>
      <c r="K19" s="2">
        <v>-0.95492383475544196</v>
      </c>
      <c r="L19" s="1">
        <v>2.4062618784872201</v>
      </c>
      <c r="M19" s="1">
        <v>1.0714573346326</v>
      </c>
      <c r="N19" s="2">
        <f t="shared" si="17"/>
        <v>0.84093179278812602</v>
      </c>
      <c r="O19">
        <v>-3.9677195448287899</v>
      </c>
      <c r="P19">
        <v>-1.94149782973533</v>
      </c>
      <c r="Q19">
        <v>-6.48837895102705</v>
      </c>
      <c r="R19" s="2">
        <f t="shared" ref="R19:R20" si="26">AVERAGE(O19:Q19)</f>
        <v>-4.1325321085303903</v>
      </c>
      <c r="S19" s="2">
        <v>-1.0476878936551799</v>
      </c>
      <c r="T19" s="2">
        <v>-0.73689978998536299</v>
      </c>
      <c r="U19" s="2">
        <v>-3.5628260819466502</v>
      </c>
      <c r="V19" s="2">
        <f t="shared" si="18"/>
        <v>-1.7824712551957311</v>
      </c>
      <c r="W19" s="2">
        <f t="shared" si="19"/>
        <v>-2.5131695727333203</v>
      </c>
      <c r="X19" s="2">
        <f t="shared" si="20"/>
        <v>-1.1094957237361884</v>
      </c>
      <c r="Y19" s="2">
        <f t="shared" si="21"/>
        <v>-3.4974702628133278</v>
      </c>
      <c r="Z19" s="2">
        <f t="shared" si="22"/>
        <v>-2.3733785197609456</v>
      </c>
      <c r="AA19">
        <f t="shared" si="23"/>
        <v>-39.165709340077811</v>
      </c>
      <c r="AB19">
        <f t="shared" si="24"/>
        <v>-215.23062126239819</v>
      </c>
      <c r="AC19">
        <f t="shared" si="25"/>
        <v>-93.088236234344322</v>
      </c>
    </row>
    <row r="20" spans="2:29" x14ac:dyDescent="0.25">
      <c r="B20" t="s">
        <v>17</v>
      </c>
      <c r="C20" s="2">
        <v>-0.12313457869133999</v>
      </c>
      <c r="D20" s="3">
        <v>2.0862767122469901</v>
      </c>
      <c r="E20" s="2">
        <v>-1.45459481477041</v>
      </c>
      <c r="F20" s="2">
        <f t="shared" si="15"/>
        <v>0.16951577292841336</v>
      </c>
      <c r="G20" s="1">
        <v>6.8214877706694503</v>
      </c>
      <c r="H20" s="1">
        <v>6.1214205224926799</v>
      </c>
      <c r="I20" s="1">
        <v>5.7156670480857104</v>
      </c>
      <c r="J20" s="2">
        <f t="shared" si="16"/>
        <v>6.2195251137492802</v>
      </c>
      <c r="K20" s="1">
        <v>0.51508250998499605</v>
      </c>
      <c r="L20" s="2">
        <v>2.9161601720508199</v>
      </c>
      <c r="M20" s="1">
        <v>0.99790664199626899</v>
      </c>
      <c r="N20" s="2">
        <f t="shared" si="17"/>
        <v>1.4763831080106951</v>
      </c>
      <c r="O20" s="1">
        <v>2.5976017850716899</v>
      </c>
      <c r="P20" s="1">
        <v>3.4412351254295301</v>
      </c>
      <c r="Q20">
        <v>6.8838386731487802E-2</v>
      </c>
      <c r="R20" s="2">
        <f t="shared" si="26"/>
        <v>2.0358917657442359</v>
      </c>
      <c r="S20" s="2">
        <v>-0.89023098575103099</v>
      </c>
      <c r="T20" s="1">
        <v>2.8988714990951299</v>
      </c>
      <c r="U20" s="2">
        <v>-2.06059102883698</v>
      </c>
      <c r="V20" s="2">
        <f t="shared" si="18"/>
        <v>-1.7316838497626996E-2</v>
      </c>
      <c r="W20" s="2">
        <f t="shared" si="19"/>
        <v>1.7841613002567531</v>
      </c>
      <c r="X20" s="2">
        <f t="shared" si="20"/>
        <v>3.4927928062630302</v>
      </c>
      <c r="Y20" s="2">
        <f t="shared" si="21"/>
        <v>0.65344524664121539</v>
      </c>
      <c r="Z20" s="2">
        <f t="shared" si="22"/>
        <v>1.9767997843869995</v>
      </c>
      <c r="AA20">
        <f>(1-ABS(Y20/W20))*100</f>
        <v>63.375214643026943</v>
      </c>
      <c r="AB20">
        <f t="shared" si="24"/>
        <v>81.291611530191446</v>
      </c>
      <c r="AC20">
        <f t="shared" si="25"/>
        <v>75.233999255977196</v>
      </c>
    </row>
    <row r="27" spans="2:29" x14ac:dyDescent="0.25">
      <c r="B27" s="25" t="s">
        <v>25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 spans="2:29" x14ac:dyDescent="0.25">
      <c r="C28" s="26" t="s">
        <v>0</v>
      </c>
      <c r="D28" s="26"/>
      <c r="E28" s="26"/>
      <c r="F28" s="26"/>
      <c r="G28" s="26" t="s">
        <v>9</v>
      </c>
      <c r="H28" s="26"/>
      <c r="I28" s="26"/>
      <c r="J28" s="26"/>
      <c r="K28" s="26" t="s">
        <v>10</v>
      </c>
      <c r="L28" s="26"/>
      <c r="M28" s="26"/>
      <c r="N28" s="26"/>
      <c r="O28" s="4" t="s">
        <v>23</v>
      </c>
      <c r="P28" s="4"/>
      <c r="Q28" s="4"/>
      <c r="R28" s="4"/>
      <c r="S28" s="4" t="s">
        <v>12</v>
      </c>
      <c r="T28" s="4"/>
      <c r="U28" s="4"/>
      <c r="V28" s="4"/>
      <c r="W28" s="4" t="s">
        <v>27</v>
      </c>
      <c r="X28" s="4"/>
      <c r="Y28" s="4"/>
      <c r="Z28" s="4"/>
    </row>
    <row r="29" spans="2:29" x14ac:dyDescent="0.25">
      <c r="B29" t="s">
        <v>14</v>
      </c>
      <c r="C29" s="2" t="s">
        <v>2</v>
      </c>
      <c r="D29" s="2" t="s">
        <v>3</v>
      </c>
      <c r="E29" s="2" t="s">
        <v>4</v>
      </c>
      <c r="F29" s="2" t="s">
        <v>13</v>
      </c>
      <c r="G29" s="2" t="s">
        <v>2</v>
      </c>
      <c r="H29" s="2" t="s">
        <v>3</v>
      </c>
      <c r="I29" s="2" t="s">
        <v>4</v>
      </c>
      <c r="J29" s="2" t="s">
        <v>13</v>
      </c>
      <c r="K29" s="2" t="s">
        <v>2</v>
      </c>
      <c r="L29" s="2" t="s">
        <v>3</v>
      </c>
      <c r="M29" s="2" t="s">
        <v>4</v>
      </c>
      <c r="N29" s="2" t="s">
        <v>13</v>
      </c>
      <c r="O29" t="s">
        <v>2</v>
      </c>
      <c r="P29" t="s">
        <v>3</v>
      </c>
      <c r="Q29" t="s">
        <v>4</v>
      </c>
      <c r="R29" s="2" t="s">
        <v>13</v>
      </c>
      <c r="S29" s="2" t="s">
        <v>2</v>
      </c>
      <c r="T29" s="2" t="s">
        <v>3</v>
      </c>
      <c r="U29" s="2" t="s">
        <v>4</v>
      </c>
      <c r="V29" s="2" t="s">
        <v>13</v>
      </c>
      <c r="W29" s="2" t="s">
        <v>2</v>
      </c>
      <c r="X29" s="2" t="s">
        <v>3</v>
      </c>
      <c r="Y29" s="2" t="s">
        <v>4</v>
      </c>
      <c r="Z29" s="2" t="s">
        <v>13</v>
      </c>
      <c r="AA29" s="2" t="s">
        <v>28</v>
      </c>
      <c r="AB29" s="2" t="s">
        <v>29</v>
      </c>
      <c r="AC29" s="2" t="s">
        <v>30</v>
      </c>
    </row>
    <row r="30" spans="2:29" x14ac:dyDescent="0.25">
      <c r="B30" t="s">
        <v>15</v>
      </c>
      <c r="C30" s="2">
        <v>-1.6598806331024201</v>
      </c>
      <c r="D30" s="2">
        <v>3.9229881590050801E-2</v>
      </c>
      <c r="E30" s="2">
        <v>-2.6655077351007699</v>
      </c>
      <c r="F30" s="2">
        <f>AVERAGE(C30:E30)</f>
        <v>-1.4287194955377132</v>
      </c>
      <c r="G30" s="2">
        <v>-0.34042880084948002</v>
      </c>
      <c r="H30" s="2">
        <v>7.3485766217146406E-2</v>
      </c>
      <c r="I30" s="3">
        <v>0.19062258157020201</v>
      </c>
      <c r="J30" s="2">
        <f>AVERAGE(G30:I30)</f>
        <v>-2.5440151020710528E-2</v>
      </c>
      <c r="K30" s="2">
        <v>4.3834001081874303E-2</v>
      </c>
      <c r="L30" s="2">
        <v>-2.0116233336337701</v>
      </c>
      <c r="M30" s="2">
        <v>-1.18242264396282</v>
      </c>
      <c r="N30" s="2">
        <f>AVERAGE(K30:M30)</f>
        <v>-1.0500706588382387</v>
      </c>
      <c r="O30" s="1">
        <v>0.29998717263486102</v>
      </c>
      <c r="P30" s="1">
        <v>0.16723265585220101</v>
      </c>
      <c r="Q30">
        <v>-2.45804934840461</v>
      </c>
      <c r="R30" s="2">
        <f>AVERAGE(O30:Q30)</f>
        <v>-0.66360983997251599</v>
      </c>
      <c r="S30" s="1">
        <v>0.65510479540002597</v>
      </c>
      <c r="T30" s="2">
        <v>-7.5555977013029896</v>
      </c>
      <c r="U30" s="2">
        <v>-2.3532332991206801</v>
      </c>
      <c r="V30" s="2">
        <f>AVERAGE(S30:U30)</f>
        <v>-3.0845754016745475</v>
      </c>
      <c r="W30" s="2">
        <f>AVERAGE(C30,G30,K30,O30,S30)</f>
        <v>-0.20027669296702771</v>
      </c>
      <c r="X30" s="2">
        <f t="shared" ref="X30:Z30" si="27">AVERAGE(D30,H30,L30,P30,T30)</f>
        <v>-1.8574545462554723</v>
      </c>
      <c r="Y30" s="2">
        <f t="shared" si="27"/>
        <v>-1.6937180890037358</v>
      </c>
      <c r="Z30" s="2">
        <f t="shared" si="27"/>
        <v>-1.2504831094087452</v>
      </c>
      <c r="AA30">
        <f>(1-ABS(Y30/W30))*100</f>
        <v>-745.68906342116338</v>
      </c>
      <c r="AB30">
        <f>(1-ABS(Y30/X30))*100</f>
        <v>8.8150990064236208</v>
      </c>
      <c r="AC30">
        <f>(1-ABS(Y30/AVERAGE(X30,W30)))*100</f>
        <v>-64.61995198592561</v>
      </c>
    </row>
    <row r="31" spans="2:29" x14ac:dyDescent="0.25">
      <c r="B31" t="s">
        <v>16</v>
      </c>
      <c r="C31" s="2">
        <v>-6.9042489214227496</v>
      </c>
      <c r="D31" s="2">
        <v>-7.6516089047272597</v>
      </c>
      <c r="E31" s="2">
        <v>-10.3565876467701</v>
      </c>
      <c r="F31" s="2">
        <f t="shared" ref="F31:F33" si="28">AVERAGE(C31:E31)</f>
        <v>-8.30414849097337</v>
      </c>
      <c r="G31" s="2">
        <v>-0.48931076852726502</v>
      </c>
      <c r="H31" s="1">
        <v>0.18789157951986801</v>
      </c>
      <c r="I31" s="2">
        <v>-0.14833541751993601</v>
      </c>
      <c r="J31" s="2">
        <f t="shared" ref="J31:J33" si="29">AVERAGE(G31:I31)</f>
        <v>-0.14991820217577767</v>
      </c>
      <c r="K31" s="2">
        <v>-12.8998979206628</v>
      </c>
      <c r="L31" s="2">
        <v>-15.801611246268999</v>
      </c>
      <c r="M31" s="2">
        <v>-13.023370773834399</v>
      </c>
      <c r="N31" s="2">
        <f t="shared" ref="N31:N33" si="30">AVERAGE(K31:M31)</f>
        <v>-13.908293313588734</v>
      </c>
      <c r="O31">
        <v>-8.3042059031807902</v>
      </c>
      <c r="P31">
        <v>-5.5385481205081204</v>
      </c>
      <c r="Q31">
        <v>-11.4336142119586</v>
      </c>
      <c r="R31" s="2">
        <f>AVERAGE(O31:Q31)</f>
        <v>-8.4254560785491694</v>
      </c>
      <c r="S31" s="1">
        <v>0.46625339267382898</v>
      </c>
      <c r="T31" s="2">
        <v>-3.6807007622627701</v>
      </c>
      <c r="U31" s="2">
        <v>-5.37520149517999</v>
      </c>
      <c r="V31" s="2">
        <f t="shared" ref="V31:V33" si="31">AVERAGE(S31:U31)</f>
        <v>-2.8632162882563104</v>
      </c>
      <c r="W31" s="2">
        <f t="shared" ref="W31:W33" si="32">AVERAGE(C31,G31,K31,O31,S31)</f>
        <v>-5.626282024223956</v>
      </c>
      <c r="X31" s="2">
        <f t="shared" ref="X31:X33" si="33">AVERAGE(D31,H31,L31,P31,T31)</f>
        <v>-6.4969154908494575</v>
      </c>
      <c r="Y31" s="2">
        <f t="shared" ref="Y31:Y33" si="34">AVERAGE(E31,I31,M31,Q31,U31)</f>
        <v>-8.0674219090526034</v>
      </c>
      <c r="Z31" s="2">
        <f t="shared" ref="Z31:Z33" si="35">AVERAGE(F31,J31,N31,R31,V31)</f>
        <v>-6.7302064747086714</v>
      </c>
      <c r="AA31">
        <f t="shared" ref="AA31:AA32" si="36">(1-ABS(Y31/W31))*100</f>
        <v>-43.388153567814783</v>
      </c>
      <c r="AB31">
        <f t="shared" ref="AB31:AB33" si="37">(1-ABS(Y31/X31))*100</f>
        <v>-24.173108306782144</v>
      </c>
      <c r="AC31">
        <f t="shared" ref="AC31:AC33" si="38">(1-ABS(Y31/AVERAGE(X31,W31)))*100</f>
        <v>-33.090661915257094</v>
      </c>
    </row>
    <row r="32" spans="2:29" x14ac:dyDescent="0.25">
      <c r="B32" t="s">
        <v>18</v>
      </c>
      <c r="C32" s="2">
        <v>-4.9380208061815702</v>
      </c>
      <c r="D32" s="2">
        <v>-3.24138405306116</v>
      </c>
      <c r="E32" s="2">
        <v>-5.9639320656306598</v>
      </c>
      <c r="F32" s="2">
        <f t="shared" si="28"/>
        <v>-4.7144456416244633</v>
      </c>
      <c r="G32" s="1">
        <v>1.1172753712694601</v>
      </c>
      <c r="H32" s="1">
        <v>1.2598903629062499</v>
      </c>
      <c r="I32" s="1">
        <v>1.87760590402237</v>
      </c>
      <c r="J32" s="2">
        <f t="shared" si="29"/>
        <v>1.4182572127326933</v>
      </c>
      <c r="K32" s="2">
        <v>-1.6574957842456199</v>
      </c>
      <c r="L32" s="2">
        <v>-2.03395882438631</v>
      </c>
      <c r="M32" s="2">
        <v>-2.5436715500948801</v>
      </c>
      <c r="N32" s="2">
        <f t="shared" si="30"/>
        <v>-2.07837538624227</v>
      </c>
      <c r="O32">
        <v>-3.9677195448287899</v>
      </c>
      <c r="P32">
        <v>-1.94149782973533</v>
      </c>
      <c r="Q32">
        <v>-6.48837895102705</v>
      </c>
      <c r="R32" s="2">
        <f t="shared" ref="R32:R33" si="39">AVERAGE(O32:Q32)</f>
        <v>-4.1325321085303903</v>
      </c>
      <c r="S32" s="2">
        <v>-1.0476878936551799</v>
      </c>
      <c r="T32" s="2">
        <v>-0.73689978998536299</v>
      </c>
      <c r="U32" s="2">
        <v>-3.5628260819466502</v>
      </c>
      <c r="V32" s="2">
        <f t="shared" si="31"/>
        <v>-1.7824712551957311</v>
      </c>
      <c r="W32" s="2">
        <f t="shared" si="32"/>
        <v>-2.0987297315283397</v>
      </c>
      <c r="X32" s="2">
        <f t="shared" si="33"/>
        <v>-1.3387700268523826</v>
      </c>
      <c r="Y32" s="2">
        <f t="shared" si="34"/>
        <v>-3.3362405489353741</v>
      </c>
      <c r="Z32" s="2">
        <f t="shared" si="35"/>
        <v>-2.2579134357720321</v>
      </c>
      <c r="AA32">
        <f t="shared" si="36"/>
        <v>-58.964753718233773</v>
      </c>
      <c r="AB32">
        <f t="shared" si="37"/>
        <v>-149.20191534159883</v>
      </c>
      <c r="AC32">
        <f t="shared" si="38"/>
        <v>-94.108554672710866</v>
      </c>
    </row>
    <row r="33" spans="2:29" x14ac:dyDescent="0.25">
      <c r="B33" t="s">
        <v>17</v>
      </c>
      <c r="C33" s="2">
        <v>-0.12313457869133999</v>
      </c>
      <c r="D33" s="3">
        <v>2.0862767122469901</v>
      </c>
      <c r="E33" s="2">
        <v>-1.45459481477041</v>
      </c>
      <c r="F33" s="2">
        <f t="shared" si="28"/>
        <v>0.16951577292841336</v>
      </c>
      <c r="G33" s="1">
        <v>1.70316580000143</v>
      </c>
      <c r="H33" s="1">
        <v>1.5859594949499001</v>
      </c>
      <c r="I33" s="1">
        <v>2.2006005241125499</v>
      </c>
      <c r="J33" s="2">
        <f t="shared" si="29"/>
        <v>1.8299086063546266</v>
      </c>
      <c r="K33" s="1">
        <v>6.8214877706694503</v>
      </c>
      <c r="L33" s="1">
        <v>6.1214205224926799</v>
      </c>
      <c r="M33" s="1">
        <v>5.7156670480857104</v>
      </c>
      <c r="N33" s="2">
        <f t="shared" si="30"/>
        <v>6.2195251137492802</v>
      </c>
      <c r="O33" s="1">
        <v>2.5976017850716899</v>
      </c>
      <c r="P33" s="1">
        <v>3.4412351254295301</v>
      </c>
      <c r="Q33">
        <v>6.8838386731487802E-2</v>
      </c>
      <c r="R33" s="2">
        <f t="shared" si="39"/>
        <v>2.0358917657442359</v>
      </c>
      <c r="S33" s="2">
        <v>-0.89023098575103099</v>
      </c>
      <c r="T33" s="1">
        <v>2.8988714990951299</v>
      </c>
      <c r="U33" s="2">
        <v>-2.06059102883698</v>
      </c>
      <c r="V33" s="2">
        <f t="shared" si="31"/>
        <v>-1.7316838497626996E-2</v>
      </c>
      <c r="W33" s="2">
        <f t="shared" si="32"/>
        <v>2.0217779582600395</v>
      </c>
      <c r="X33" s="2">
        <f t="shared" si="33"/>
        <v>3.2267526708428464</v>
      </c>
      <c r="Y33" s="2">
        <f t="shared" si="34"/>
        <v>0.89398402306447156</v>
      </c>
      <c r="Z33" s="2">
        <f t="shared" si="35"/>
        <v>2.0475048840557855</v>
      </c>
      <c r="AA33">
        <f>(1-ABS(Y33/W33))*100</f>
        <v>55.782284626653933</v>
      </c>
      <c r="AB33">
        <f t="shared" si="37"/>
        <v>72.294622047032888</v>
      </c>
      <c r="AC33">
        <f t="shared" si="38"/>
        <v>65.933931370911054</v>
      </c>
    </row>
    <row r="40" spans="2:29" x14ac:dyDescent="0.25">
      <c r="B40" s="25" t="s">
        <v>26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2:29" x14ac:dyDescent="0.25">
      <c r="C41" s="26" t="s">
        <v>0</v>
      </c>
      <c r="D41" s="26"/>
      <c r="E41" s="26"/>
      <c r="F41" s="26"/>
      <c r="G41" s="4" t="s">
        <v>10</v>
      </c>
      <c r="H41" s="4"/>
      <c r="I41" s="4"/>
      <c r="J41" s="4"/>
      <c r="K41" s="4" t="s">
        <v>23</v>
      </c>
      <c r="L41" s="4"/>
      <c r="M41" s="4"/>
      <c r="N41" s="4"/>
      <c r="O41" s="4" t="s">
        <v>12</v>
      </c>
      <c r="P41" s="4"/>
      <c r="Q41" s="4"/>
      <c r="R41" s="4"/>
      <c r="S41" s="4" t="s">
        <v>27</v>
      </c>
      <c r="T41" s="4"/>
      <c r="U41" s="4"/>
      <c r="V41" s="4"/>
    </row>
    <row r="42" spans="2:29" x14ac:dyDescent="0.25">
      <c r="B42" t="s">
        <v>14</v>
      </c>
      <c r="C42" s="2" t="s">
        <v>2</v>
      </c>
      <c r="D42" s="2" t="s">
        <v>3</v>
      </c>
      <c r="E42" s="2" t="s">
        <v>4</v>
      </c>
      <c r="F42" s="2" t="s">
        <v>13</v>
      </c>
      <c r="G42" s="2" t="s">
        <v>2</v>
      </c>
      <c r="H42" s="2" t="s">
        <v>3</v>
      </c>
      <c r="I42" s="2" t="s">
        <v>4</v>
      </c>
      <c r="J42" s="2" t="s">
        <v>13</v>
      </c>
      <c r="K42" t="s">
        <v>2</v>
      </c>
      <c r="L42" t="s">
        <v>3</v>
      </c>
      <c r="M42" t="s">
        <v>4</v>
      </c>
      <c r="N42" s="2" t="s">
        <v>13</v>
      </c>
      <c r="O42" s="2" t="s">
        <v>2</v>
      </c>
      <c r="P42" s="2" t="s">
        <v>3</v>
      </c>
      <c r="Q42" s="2" t="s">
        <v>4</v>
      </c>
      <c r="R42" s="2" t="s">
        <v>13</v>
      </c>
      <c r="S42" s="2" t="s">
        <v>2</v>
      </c>
      <c r="T42" s="2" t="s">
        <v>3</v>
      </c>
      <c r="U42" s="2" t="s">
        <v>4</v>
      </c>
      <c r="V42" s="2" t="s">
        <v>13</v>
      </c>
      <c r="W42" s="2" t="s">
        <v>28</v>
      </c>
      <c r="X42" s="2" t="s">
        <v>29</v>
      </c>
      <c r="Y42" s="2" t="s">
        <v>30</v>
      </c>
    </row>
    <row r="43" spans="2:29" x14ac:dyDescent="0.25">
      <c r="B43" t="s">
        <v>15</v>
      </c>
      <c r="C43" s="2">
        <v>-1.6598806331024201</v>
      </c>
      <c r="D43" s="2">
        <v>3.9229881590050801E-2</v>
      </c>
      <c r="E43" s="2">
        <v>-2.6655077351007699</v>
      </c>
      <c r="F43" s="2">
        <f>AVERAGE(C43:E43)</f>
        <v>-1.4287194955377132</v>
      </c>
      <c r="G43" s="2">
        <v>0.22972999999999999</v>
      </c>
      <c r="H43" s="2">
        <v>-1.6087929999999999</v>
      </c>
      <c r="I43" s="2">
        <v>-1.18242264396282</v>
      </c>
      <c r="J43" s="2">
        <f>AVERAGE(G43:I43)</f>
        <v>-0.85382854798760677</v>
      </c>
      <c r="K43" s="1">
        <v>0.29998717263486102</v>
      </c>
      <c r="L43" s="1">
        <v>0.16723265585220101</v>
      </c>
      <c r="M43">
        <v>-2.45804934840461</v>
      </c>
      <c r="N43" s="2">
        <f>AVERAGE(K43:M43)</f>
        <v>-0.66360983997251599</v>
      </c>
      <c r="O43" s="1">
        <v>0.65510479540002597</v>
      </c>
      <c r="P43" s="2">
        <v>-7.5555977013029896</v>
      </c>
      <c r="Q43" s="2">
        <v>-2.3532332991206801</v>
      </c>
      <c r="R43" s="2">
        <f>AVERAGE(O43:Q43)</f>
        <v>-3.0845754016745475</v>
      </c>
      <c r="S43" s="2">
        <f>AVERAGE(C43,G43,K43,O43)</f>
        <v>-0.11876466626688326</v>
      </c>
      <c r="T43" s="2">
        <f t="shared" ref="T43:V43" si="40">AVERAGE(D43,H43,L43,P43)</f>
        <v>-2.2394820409651843</v>
      </c>
      <c r="U43" s="2">
        <f t="shared" si="40"/>
        <v>-2.16480325664722</v>
      </c>
      <c r="V43" s="2">
        <f t="shared" si="40"/>
        <v>-1.5076833212930958</v>
      </c>
      <c r="W43">
        <f>(1-ABS(U43/S43))*100</f>
        <v>-1722.7670945351369</v>
      </c>
      <c r="X43">
        <f>(1-ABS(U43/T43))*100</f>
        <v>3.3346453756681549</v>
      </c>
      <c r="Y43">
        <f>(1-ABS(U43/AVERAGE(T43,S43)))*100</f>
        <v>-83.594299104363273</v>
      </c>
    </row>
    <row r="44" spans="2:29" x14ac:dyDescent="0.25">
      <c r="B44" t="s">
        <v>16</v>
      </c>
      <c r="C44" s="2">
        <v>-6.9042489214227496</v>
      </c>
      <c r="D44" s="2">
        <v>-7.6516089047272597</v>
      </c>
      <c r="E44" s="2">
        <v>-10.3565876467701</v>
      </c>
      <c r="F44" s="2">
        <f t="shared" ref="F44:F46" si="41">AVERAGE(C44:E44)</f>
        <v>-8.30414849097337</v>
      </c>
      <c r="G44" s="2">
        <v>-12.8998979206628</v>
      </c>
      <c r="H44" s="2">
        <v>-15.801611246268999</v>
      </c>
      <c r="I44" s="2">
        <v>-13.023370773834399</v>
      </c>
      <c r="J44" s="2">
        <f t="shared" ref="J44:J46" si="42">AVERAGE(G44:I44)</f>
        <v>-13.908293313588734</v>
      </c>
      <c r="K44">
        <v>-8.3042059031807902</v>
      </c>
      <c r="L44">
        <v>-5.5385481205081204</v>
      </c>
      <c r="M44">
        <v>-11.4336142119586</v>
      </c>
      <c r="N44" s="2">
        <f>AVERAGE(K44:M44)</f>
        <v>-8.4254560785491694</v>
      </c>
      <c r="O44" s="1">
        <v>0.46625339267382898</v>
      </c>
      <c r="P44" s="2">
        <v>-3.6807007622627701</v>
      </c>
      <c r="Q44" s="2">
        <v>-5.37520149517999</v>
      </c>
      <c r="R44" s="2">
        <f t="shared" ref="R44:R46" si="43">AVERAGE(O44:Q44)</f>
        <v>-2.8632162882563104</v>
      </c>
      <c r="S44" s="2">
        <f t="shared" ref="S44:S46" si="44">AVERAGE(C44,G44,K44,O44)</f>
        <v>-6.9105248381481283</v>
      </c>
      <c r="T44" s="2">
        <f t="shared" ref="T44:T46" si="45">AVERAGE(D44,H44,L44,P44)</f>
        <v>-8.1681172584417876</v>
      </c>
      <c r="U44" s="2">
        <f t="shared" ref="U44:U46" si="46">AVERAGE(E44,I44,M44,Q44)</f>
        <v>-10.047193531935772</v>
      </c>
      <c r="V44" s="2">
        <f t="shared" ref="V44:V46" si="47">AVERAGE(F44,J44,N44,R44)</f>
        <v>-8.3752785428418957</v>
      </c>
      <c r="W44">
        <f t="shared" ref="W44:W45" si="48">(1-ABS(U44/S44))*100</f>
        <v>-45.389731854696635</v>
      </c>
      <c r="X44">
        <f t="shared" ref="X44:X46" si="49">(1-ABS(U44/T44))*100</f>
        <v>-23.00501099628498</v>
      </c>
      <c r="Y44">
        <f t="shared" ref="Y44:Y46" si="50">(1-ABS(U44/AVERAGE(T44,S44)))*100</f>
        <v>-33.26390357402245</v>
      </c>
    </row>
    <row r="45" spans="2:29" x14ac:dyDescent="0.25">
      <c r="B45" t="s">
        <v>18</v>
      </c>
      <c r="C45" s="2">
        <v>-4.9380208061815702</v>
      </c>
      <c r="D45" s="2">
        <v>-3.24138405306116</v>
      </c>
      <c r="E45" s="2">
        <v>-5.9639320656306598</v>
      </c>
      <c r="F45" s="2">
        <f t="shared" si="41"/>
        <v>-4.7144456416244633</v>
      </c>
      <c r="G45" s="2">
        <v>-1.6574957842456199</v>
      </c>
      <c r="H45" s="2">
        <v>-2.03395882438631</v>
      </c>
      <c r="I45" s="2">
        <v>-2.5436715500948801</v>
      </c>
      <c r="J45" s="2">
        <f t="shared" si="42"/>
        <v>-2.07837538624227</v>
      </c>
      <c r="K45">
        <v>-3.9677195448287899</v>
      </c>
      <c r="L45">
        <v>-1.94149782973533</v>
      </c>
      <c r="M45">
        <v>-6.48837895102705</v>
      </c>
      <c r="N45" s="2">
        <f t="shared" ref="N45:N46" si="51">AVERAGE(K45:M45)</f>
        <v>-4.1325321085303903</v>
      </c>
      <c r="O45" s="2">
        <v>-1.0476878936551799</v>
      </c>
      <c r="P45" s="2">
        <v>-0.73689978998536299</v>
      </c>
      <c r="Q45" s="2">
        <v>-3.5628260819466502</v>
      </c>
      <c r="R45" s="2">
        <f t="shared" si="43"/>
        <v>-1.7824712551957311</v>
      </c>
      <c r="S45" s="2">
        <f t="shared" si="44"/>
        <v>-2.9027310072277901</v>
      </c>
      <c r="T45" s="2">
        <f t="shared" si="45"/>
        <v>-1.9884351242920406</v>
      </c>
      <c r="U45" s="2">
        <f t="shared" si="46"/>
        <v>-4.6397021621748102</v>
      </c>
      <c r="V45" s="2">
        <f t="shared" si="47"/>
        <v>-3.1769560978982136</v>
      </c>
      <c r="W45">
        <f t="shared" si="48"/>
        <v>-59.839204894355277</v>
      </c>
      <c r="X45">
        <f t="shared" si="49"/>
        <v>-133.33434948382953</v>
      </c>
      <c r="Y45">
        <f t="shared" si="50"/>
        <v>-89.71762714316624</v>
      </c>
    </row>
    <row r="46" spans="2:29" x14ac:dyDescent="0.25">
      <c r="B46" t="s">
        <v>17</v>
      </c>
      <c r="C46" s="2">
        <v>-0.12313457869133999</v>
      </c>
      <c r="D46" s="3">
        <v>2.0862767122469901</v>
      </c>
      <c r="E46" s="2">
        <v>-1.45459481477041</v>
      </c>
      <c r="F46" s="2">
        <f t="shared" si="41"/>
        <v>0.16951577292841336</v>
      </c>
      <c r="G46" s="1">
        <v>6.8214877706694503</v>
      </c>
      <c r="H46" s="1">
        <v>6.1214205224926799</v>
      </c>
      <c r="I46" s="1">
        <v>5.7156670480857104</v>
      </c>
      <c r="J46" s="2">
        <f t="shared" si="42"/>
        <v>6.2195251137492802</v>
      </c>
      <c r="K46" s="1">
        <v>2.5976017850716899</v>
      </c>
      <c r="L46" s="1">
        <v>3.4412351254295301</v>
      </c>
      <c r="M46">
        <v>6.8838386731487802E-2</v>
      </c>
      <c r="N46" s="2">
        <f t="shared" si="51"/>
        <v>2.0358917657442359</v>
      </c>
      <c r="O46" s="2">
        <v>-0.89023098575103099</v>
      </c>
      <c r="P46" s="1">
        <v>2.8988714990951299</v>
      </c>
      <c r="Q46" s="2">
        <v>-2.06059102883698</v>
      </c>
      <c r="R46" s="2">
        <f t="shared" si="43"/>
        <v>-1.7316838497626996E-2</v>
      </c>
      <c r="S46" s="2">
        <f t="shared" si="44"/>
        <v>2.1014309978246923</v>
      </c>
      <c r="T46" s="2">
        <f t="shared" si="45"/>
        <v>3.6369509648160823</v>
      </c>
      <c r="U46" s="2">
        <f t="shared" si="46"/>
        <v>0.56732989780245202</v>
      </c>
      <c r="V46" s="2">
        <f t="shared" si="47"/>
        <v>2.1019039534810755</v>
      </c>
      <c r="W46">
        <f>(1-ABS(U46/S46))*100</f>
        <v>73.002687293100436</v>
      </c>
      <c r="X46">
        <f t="shared" si="49"/>
        <v>84.400947296490656</v>
      </c>
      <c r="Y46">
        <f t="shared" si="50"/>
        <v>80.22683392301164</v>
      </c>
    </row>
  </sheetData>
  <mergeCells count="21">
    <mergeCell ref="AA2:AD2"/>
    <mergeCell ref="B14:Z14"/>
    <mergeCell ref="W15:Z15"/>
    <mergeCell ref="S15:V15"/>
    <mergeCell ref="O15:R15"/>
    <mergeCell ref="K15:N15"/>
    <mergeCell ref="G15:J15"/>
    <mergeCell ref="C15:F15"/>
    <mergeCell ref="B27:Y27"/>
    <mergeCell ref="C41:F41"/>
    <mergeCell ref="B40:Y40"/>
    <mergeCell ref="C28:F28"/>
    <mergeCell ref="G28:J28"/>
    <mergeCell ref="K28:N28"/>
    <mergeCell ref="B1:Y1"/>
    <mergeCell ref="C2:F2"/>
    <mergeCell ref="O2:R2"/>
    <mergeCell ref="K2:N2"/>
    <mergeCell ref="G2:J2"/>
    <mergeCell ref="W2:Z2"/>
    <mergeCell ref="S2:V2"/>
  </mergeCells>
  <conditionalFormatting sqref="C40:Y4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AD1 AA13:AD13 AD20 C21:AD26 C34:AD39 C47:AD1048576 C16:Z20 C28:Z33 C41:V46 C3:AD12 C2:AA2 C15 W15 S15 O15 K15 G15 AE3:AG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:AD2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2:N4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6:R2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9:R3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8 S15 O41 G28 G2 W2 C2 O2 K2 AA2 C8:Y12 C3:R7 W3:AC7 C21:Y26 C15 K15 G15 C16:N20 S16:Y20 C34:Y39 C28 K28 C29:N33 C47:Y1048576 C41 G41 C42:J46 S29:Y33 X30:Z33 O42:U46 T43:V46 W15 W28 S41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:V7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2:V4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2:Y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6:Z2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9:Z3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6:AC1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9:AC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:AD7 AE3:AG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4CBA-7A9E-4C9A-B3BB-BBCD76A601E9}">
  <dimension ref="A1:E35"/>
  <sheetViews>
    <sheetView workbookViewId="0">
      <selection activeCell="B57" sqref="B57"/>
    </sheetView>
  </sheetViews>
  <sheetFormatPr defaultRowHeight="15" x14ac:dyDescent="0.25"/>
  <cols>
    <col min="2" max="2" width="33.42578125" bestFit="1" customWidth="1"/>
    <col min="3" max="5" width="9.140625" style="2"/>
  </cols>
  <sheetData>
    <row r="1" spans="1:5" x14ac:dyDescent="0.25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B2" t="s">
        <v>5</v>
      </c>
      <c r="C2" s="2">
        <v>-1.6598806331024201</v>
      </c>
      <c r="D2" s="2">
        <v>3.9229881590050801E-2</v>
      </c>
      <c r="E2" s="2">
        <v>-2.6655077351007699</v>
      </c>
    </row>
    <row r="3" spans="1:5" x14ac:dyDescent="0.25">
      <c r="B3" t="s">
        <v>6</v>
      </c>
      <c r="C3" s="2">
        <v>-6.9042489214227496</v>
      </c>
      <c r="D3" s="2">
        <v>-7.6516089047272597</v>
      </c>
      <c r="E3" s="2">
        <v>-10.3565876467701</v>
      </c>
    </row>
    <row r="4" spans="1:5" x14ac:dyDescent="0.25">
      <c r="B4" t="s">
        <v>7</v>
      </c>
      <c r="C4" s="2">
        <v>-4.9380208061815702</v>
      </c>
      <c r="D4" s="2">
        <v>-3.24138405306116</v>
      </c>
      <c r="E4" s="2">
        <v>-5.9639320656306598</v>
      </c>
    </row>
    <row r="5" spans="1:5" x14ac:dyDescent="0.25">
      <c r="B5" t="s">
        <v>8</v>
      </c>
      <c r="C5" s="2">
        <v>-0.12313457869133999</v>
      </c>
      <c r="D5" s="3">
        <v>2.0862767122469901</v>
      </c>
      <c r="E5" s="2">
        <v>-1.45459481477041</v>
      </c>
    </row>
    <row r="6" spans="1:5" x14ac:dyDescent="0.25">
      <c r="A6" t="s">
        <v>9</v>
      </c>
      <c r="B6" t="s">
        <v>1</v>
      </c>
      <c r="C6" s="2" t="s">
        <v>2</v>
      </c>
      <c r="D6" s="2" t="s">
        <v>3</v>
      </c>
      <c r="E6" s="2" t="s">
        <v>4</v>
      </c>
    </row>
    <row r="7" spans="1:5" x14ac:dyDescent="0.25">
      <c r="B7" t="s">
        <v>5</v>
      </c>
      <c r="C7" s="2">
        <v>-0.34042880084948002</v>
      </c>
      <c r="D7" s="2">
        <v>7.3485766217146406E-2</v>
      </c>
      <c r="E7" s="3">
        <v>0.19062258157020201</v>
      </c>
    </row>
    <row r="8" spans="1:5" x14ac:dyDescent="0.25">
      <c r="B8" t="s">
        <v>6</v>
      </c>
      <c r="C8" s="2">
        <v>-0.48931076852726502</v>
      </c>
      <c r="D8" s="1">
        <v>0.18789157951986801</v>
      </c>
      <c r="E8" s="2">
        <v>-0.14833541751993601</v>
      </c>
    </row>
    <row r="9" spans="1:5" x14ac:dyDescent="0.25">
      <c r="B9" t="s">
        <v>7</v>
      </c>
      <c r="C9" s="1">
        <v>1.1172753712694601</v>
      </c>
      <c r="D9" s="1">
        <v>1.2598903629062499</v>
      </c>
      <c r="E9" s="1">
        <v>1.87760590402237</v>
      </c>
    </row>
    <row r="10" spans="1:5" x14ac:dyDescent="0.25">
      <c r="B10" t="s">
        <v>8</v>
      </c>
      <c r="C10" s="1">
        <v>1.70316580000143</v>
      </c>
      <c r="D10" s="1">
        <v>1.5859594949499001</v>
      </c>
      <c r="E10" s="1">
        <v>2.2006005241125499</v>
      </c>
    </row>
    <row r="11" spans="1:5" x14ac:dyDescent="0.25">
      <c r="A11" t="s">
        <v>10</v>
      </c>
      <c r="B11" t="s">
        <v>1</v>
      </c>
      <c r="C11" s="2" t="s">
        <v>2</v>
      </c>
      <c r="D11" s="2" t="s">
        <v>3</v>
      </c>
      <c r="E11" s="2" t="s">
        <v>4</v>
      </c>
    </row>
    <row r="12" spans="1:5" x14ac:dyDescent="0.25">
      <c r="B12" t="s">
        <v>5</v>
      </c>
      <c r="C12" s="2">
        <v>4.3834001081874303E-2</v>
      </c>
      <c r="D12" s="2">
        <v>-2.0116233336337701</v>
      </c>
      <c r="E12" s="2">
        <v>-1.18242264396282</v>
      </c>
    </row>
    <row r="13" spans="1:5" x14ac:dyDescent="0.25">
      <c r="B13" t="s">
        <v>6</v>
      </c>
      <c r="C13" s="2">
        <v>-12.8998979206628</v>
      </c>
      <c r="D13" s="2">
        <v>-15.801611246268999</v>
      </c>
      <c r="E13" s="2">
        <v>-13.023370773834399</v>
      </c>
    </row>
    <row r="14" spans="1:5" x14ac:dyDescent="0.25">
      <c r="B14" t="s">
        <v>7</v>
      </c>
      <c r="C14" s="2">
        <v>-1.6574957842456199</v>
      </c>
      <c r="D14" s="2">
        <v>-2.03395882438631</v>
      </c>
      <c r="E14" s="2">
        <v>-2.5436715500948801</v>
      </c>
    </row>
    <row r="15" spans="1:5" x14ac:dyDescent="0.25">
      <c r="B15" t="s">
        <v>8</v>
      </c>
      <c r="C15" s="1">
        <v>6.8214877706694503</v>
      </c>
      <c r="D15" s="1">
        <v>6.1214205224926799</v>
      </c>
      <c r="E15" s="1">
        <v>5.7156670480857104</v>
      </c>
    </row>
    <row r="16" spans="1:5" x14ac:dyDescent="0.25">
      <c r="A16" t="s">
        <v>11</v>
      </c>
      <c r="B16" t="s">
        <v>1</v>
      </c>
      <c r="C16" s="2" t="s">
        <v>2</v>
      </c>
      <c r="D16" s="2" t="s">
        <v>3</v>
      </c>
      <c r="E16" s="2" t="s">
        <v>4</v>
      </c>
    </row>
    <row r="17" spans="1:5" x14ac:dyDescent="0.25">
      <c r="B17" t="s">
        <v>5</v>
      </c>
      <c r="C17" s="2">
        <v>-2.00731003120536</v>
      </c>
      <c r="D17" s="2">
        <v>-1.97991679794899</v>
      </c>
      <c r="E17" s="2">
        <v>-2.0831813030370201</v>
      </c>
    </row>
    <row r="18" spans="1:5" x14ac:dyDescent="0.25">
      <c r="B18" t="s">
        <v>6</v>
      </c>
      <c r="C18" s="2">
        <v>-1.50077828130791</v>
      </c>
      <c r="D18" s="2">
        <v>-7.3571754385431301E-2</v>
      </c>
      <c r="E18" s="2">
        <v>-4.1953797210389698</v>
      </c>
    </row>
    <row r="19" spans="1:5" x14ac:dyDescent="0.25">
      <c r="B19" t="s">
        <v>7</v>
      </c>
      <c r="C19" s="2">
        <v>-0.95492383475544196</v>
      </c>
      <c r="D19" s="1">
        <v>2.4062618784872201</v>
      </c>
      <c r="E19" s="1">
        <v>1.0714573346326</v>
      </c>
    </row>
    <row r="20" spans="1:5" x14ac:dyDescent="0.25">
      <c r="B20" t="s">
        <v>8</v>
      </c>
      <c r="C20" s="1">
        <v>0.51508250998499605</v>
      </c>
      <c r="D20" s="2">
        <v>2.9161601720508199</v>
      </c>
      <c r="E20" s="1">
        <v>0.99790664199626899</v>
      </c>
    </row>
    <row r="21" spans="1:5" x14ac:dyDescent="0.25">
      <c r="B21" t="s">
        <v>1</v>
      </c>
      <c r="C21" t="s">
        <v>2</v>
      </c>
      <c r="D21" t="s">
        <v>3</v>
      </c>
      <c r="E21" t="s">
        <v>4</v>
      </c>
    </row>
    <row r="22" spans="1:5" x14ac:dyDescent="0.25">
      <c r="B22" t="s">
        <v>5</v>
      </c>
      <c r="C22" s="1" t="s">
        <v>19</v>
      </c>
      <c r="D22" s="1" t="s">
        <v>20</v>
      </c>
      <c r="E22">
        <v>-2.45804934840461</v>
      </c>
    </row>
    <row r="23" spans="1:5" x14ac:dyDescent="0.25">
      <c r="B23" t="s">
        <v>6</v>
      </c>
      <c r="C23">
        <v>-8.3042059031807902</v>
      </c>
      <c r="D23">
        <v>-5.5385481205081204</v>
      </c>
      <c r="E23">
        <v>-11.4336142119586</v>
      </c>
    </row>
    <row r="24" spans="1:5" x14ac:dyDescent="0.25">
      <c r="B24" t="s">
        <v>7</v>
      </c>
      <c r="C24">
        <v>-3.9677195448287899</v>
      </c>
      <c r="D24">
        <v>-1.94149782973533</v>
      </c>
      <c r="E24">
        <v>-6.48837895102705</v>
      </c>
    </row>
    <row r="25" spans="1:5" x14ac:dyDescent="0.25">
      <c r="B25" t="s">
        <v>8</v>
      </c>
      <c r="C25" s="1" t="s">
        <v>21</v>
      </c>
      <c r="D25" s="1" t="s">
        <v>22</v>
      </c>
      <c r="E25">
        <v>6.8838386731487802E-2</v>
      </c>
    </row>
    <row r="26" spans="1:5" x14ac:dyDescent="0.25">
      <c r="A26" t="s">
        <v>12</v>
      </c>
      <c r="B26" t="s">
        <v>1</v>
      </c>
      <c r="C26" s="2" t="s">
        <v>2</v>
      </c>
      <c r="D26" s="2" t="s">
        <v>3</v>
      </c>
      <c r="E26" s="2" t="s">
        <v>4</v>
      </c>
    </row>
    <row r="27" spans="1:5" x14ac:dyDescent="0.25">
      <c r="B27" t="s">
        <v>5</v>
      </c>
      <c r="C27" s="1">
        <v>0.65510479540002597</v>
      </c>
      <c r="D27" s="2">
        <v>-7.5555977013029896</v>
      </c>
      <c r="E27" s="2">
        <v>-2.3532332991206801</v>
      </c>
    </row>
    <row r="28" spans="1:5" x14ac:dyDescent="0.25">
      <c r="B28" t="s">
        <v>6</v>
      </c>
      <c r="C28" s="1">
        <v>0.46625339267382898</v>
      </c>
      <c r="D28" s="2">
        <v>-3.6807007622627701</v>
      </c>
      <c r="E28" s="2">
        <v>-5.37520149517999</v>
      </c>
    </row>
    <row r="29" spans="1:5" x14ac:dyDescent="0.25">
      <c r="B29" t="s">
        <v>7</v>
      </c>
      <c r="C29" s="2">
        <v>-1.0476878936551799</v>
      </c>
      <c r="D29" s="2">
        <v>-0.73689978998536299</v>
      </c>
      <c r="E29" s="2">
        <v>-3.5628260819466502</v>
      </c>
    </row>
    <row r="30" spans="1:5" x14ac:dyDescent="0.25">
      <c r="B30" t="s">
        <v>8</v>
      </c>
      <c r="C30" s="2">
        <v>-0.89023098575103099</v>
      </c>
      <c r="D30" s="1">
        <v>2.8988714990951299</v>
      </c>
      <c r="E30" s="2">
        <v>-2.06059102883698</v>
      </c>
    </row>
    <row r="31" spans="1:5" x14ac:dyDescent="0.25">
      <c r="A31" t="s">
        <v>13</v>
      </c>
      <c r="B31" t="s">
        <v>1</v>
      </c>
      <c r="C31" s="2" t="s">
        <v>2</v>
      </c>
      <c r="D31" s="2" t="s">
        <v>3</v>
      </c>
      <c r="E31" s="2" t="s">
        <v>4</v>
      </c>
    </row>
    <row r="32" spans="1:5" x14ac:dyDescent="0.25">
      <c r="B32" t="s">
        <v>5</v>
      </c>
      <c r="C32" s="2">
        <f t="shared" ref="C32:E35" si="0">AVERAGE(C2,C7,C12,C17,C27)</f>
        <v>-0.66173613373507201</v>
      </c>
      <c r="D32" s="2">
        <f t="shared" si="0"/>
        <v>-2.2868844370157104</v>
      </c>
      <c r="E32" s="2">
        <f t="shared" si="0"/>
        <v>-1.6187444799302178</v>
      </c>
    </row>
    <row r="33" spans="2:5" x14ac:dyDescent="0.25">
      <c r="B33" t="s">
        <v>6</v>
      </c>
      <c r="C33" s="2">
        <f t="shared" si="0"/>
        <v>-4.2655964998493792</v>
      </c>
      <c r="D33" s="2">
        <f t="shared" si="0"/>
        <v>-5.4039202176249184</v>
      </c>
      <c r="E33" s="2">
        <f t="shared" si="0"/>
        <v>-6.619775010868679</v>
      </c>
    </row>
    <row r="34" spans="2:5" x14ac:dyDescent="0.25">
      <c r="B34" t="s">
        <v>7</v>
      </c>
      <c r="C34" s="2">
        <f t="shared" si="0"/>
        <v>-1.4961705895136705</v>
      </c>
      <c r="D34" s="2">
        <f t="shared" si="0"/>
        <v>-0.46921808520787261</v>
      </c>
      <c r="E34" s="2">
        <f t="shared" si="0"/>
        <v>-1.8242732918034441</v>
      </c>
    </row>
    <row r="35" spans="2:5" x14ac:dyDescent="0.25">
      <c r="B35" t="s">
        <v>8</v>
      </c>
      <c r="C35" s="2">
        <f t="shared" si="0"/>
        <v>1.6052741032427007</v>
      </c>
      <c r="D35" s="2">
        <f t="shared" si="0"/>
        <v>3.1217376801671035</v>
      </c>
      <c r="E35" s="2">
        <f t="shared" si="0"/>
        <v>1.0797976741174278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Experimental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Harison Sharp</dc:creator>
  <cp:lastModifiedBy>Harison Sharp</cp:lastModifiedBy>
  <dcterms:created xsi:type="dcterms:W3CDTF">2026-01-12T18:00:59Z</dcterms:created>
  <dcterms:modified xsi:type="dcterms:W3CDTF">2026-01-12T21:10:42Z</dcterms:modified>
</cp:coreProperties>
</file>