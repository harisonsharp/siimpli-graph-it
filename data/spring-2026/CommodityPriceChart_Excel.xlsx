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ris\Work\Siim2025\siimpli-graph-it-copy\data\"/>
    </mc:Choice>
  </mc:AlternateContent>
  <xr:revisionPtr revIDLastSave="0" documentId="8_{D7CFE2FF-D249-4CE3-A0D5-365F393654E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etal Historical Data 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3" i="1" l="1"/>
  <c r="R13" i="1"/>
  <c r="Q13" i="1"/>
  <c r="P13" i="1"/>
  <c r="L46" i="1"/>
  <c r="L45" i="1"/>
  <c r="L44" i="1"/>
  <c r="L43" i="1"/>
  <c r="L42" i="1"/>
  <c r="L41" i="1"/>
  <c r="L40" i="1"/>
  <c r="L39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S16" i="1"/>
  <c r="R16" i="1"/>
  <c r="O16" i="1"/>
  <c r="O34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17" i="1"/>
  <c r="E39" i="1"/>
  <c r="E40" i="1"/>
  <c r="E41" i="1"/>
  <c r="E42" i="1"/>
  <c r="E43" i="1"/>
  <c r="E44" i="1"/>
  <c r="E45" i="1"/>
  <c r="E46" i="1"/>
  <c r="E47" i="1"/>
  <c r="N25" i="1" s="1"/>
  <c r="E48" i="1"/>
  <c r="E49" i="1"/>
  <c r="E50" i="1"/>
  <c r="N26" i="1" s="1"/>
  <c r="E51" i="1"/>
  <c r="E52" i="1"/>
  <c r="N27" i="1" s="1"/>
  <c r="E53" i="1"/>
  <c r="N28" i="1" s="1"/>
  <c r="E54" i="1"/>
  <c r="N29" i="1" s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N34" i="1" s="1"/>
  <c r="E69" i="1"/>
  <c r="D63" i="1"/>
  <c r="D64" i="1"/>
  <c r="D65" i="1"/>
  <c r="D66" i="1"/>
  <c r="D67" i="1"/>
  <c r="D68" i="1"/>
  <c r="D69" i="1"/>
  <c r="N31" i="1"/>
  <c r="N32" i="1"/>
  <c r="N33" i="1"/>
  <c r="N14" i="1"/>
  <c r="N15" i="1"/>
  <c r="N16" i="1"/>
  <c r="N17" i="1"/>
  <c r="N18" i="1"/>
  <c r="N19" i="1"/>
  <c r="N30" i="1"/>
  <c r="N24" i="1"/>
  <c r="N21" i="1"/>
  <c r="N20" i="1"/>
  <c r="N22" i="1" l="1"/>
  <c r="N23" i="1"/>
</calcChain>
</file>

<file path=xl/sharedStrings.xml><?xml version="1.0" encoding="utf-8"?>
<sst xmlns="http://schemas.openxmlformats.org/spreadsheetml/2006/main" count="142" uniqueCount="53">
  <si>
    <t>Date</t>
  </si>
  <si>
    <t>Price</t>
  </si>
  <si>
    <t>Zn</t>
  </si>
  <si>
    <t>Ag</t>
  </si>
  <si>
    <t>Cu</t>
  </si>
  <si>
    <t>Au</t>
  </si>
  <si>
    <t>Pb</t>
  </si>
  <si>
    <t>Spot</t>
  </si>
  <si>
    <t>Projects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</si>
  <si>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</si>
  <si>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</si>
  <si>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</si>
  <si>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</si>
  <si>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</si>
  <si>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</si>
  <si>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</si>
  <si>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</si>
  <si>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</si>
  <si>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</si>
  <si>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</si>
  <si>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</si>
  <si>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</si>
  <si>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</si>
  <si>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</si>
  <si>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</si>
  <si>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</si>
  <si>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</si>
  <si>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</si>
  <si>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</si>
  <si>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</si>
  <si>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5 year</t>
  </si>
  <si>
    <t>3 year</t>
  </si>
  <si>
    <t>Report Price</t>
  </si>
  <si>
    <t>Spot (LME…)</t>
  </si>
  <si>
    <t>FS</t>
  </si>
  <si>
    <t>PFS</t>
  </si>
  <si>
    <t>PEA</t>
  </si>
  <si>
    <t>Project Mean</t>
  </si>
  <si>
    <t>Project Rolling Mean</t>
  </si>
  <si>
    <t>Project Rolling mean +1sd</t>
  </si>
  <si>
    <t>Project Rolling mean +2sd</t>
  </si>
  <si>
    <t>Project Rolling mean -1sd</t>
  </si>
  <si>
    <t>Project Rolling mean -2sd</t>
  </si>
  <si>
    <t>Gold Price Table</t>
  </si>
  <si>
    <t>US$/oz</t>
  </si>
  <si>
    <t>Spot Price US$/lb</t>
  </si>
  <si>
    <t>5 year Rolling Spot Average</t>
  </si>
  <si>
    <t>3 year Rolling Spot Average</t>
  </si>
  <si>
    <t>Project Name</t>
  </si>
  <si>
    <t>Au Price</t>
  </si>
  <si>
    <t>Efffective Date</t>
  </si>
  <si>
    <t>Report Type</t>
  </si>
  <si>
    <t>Au Spot (USD/oz, LME…)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</si>
</sst>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m/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Lucida Sans Unicode"/>
      <family val="2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3" borderId="0" xfId="0" applyFont="1" applyFill="1"/>
    <xf numFmtId="17" fontId="18" fillId="33" borderId="0" xfId="0" applyNumberFormat="1" applyFont="1" applyFill="1"/>
    <xf numFmtId="4" fontId="18" fillId="33" borderId="0" xfId="0" applyNumberFormat="1" applyFont="1" applyFill="1"/>
    <xf numFmtId="0" fontId="0" fillId="36" borderId="0" xfId="0" applyFill="1"/>
    <xf numFmtId="4" fontId="0" fillId="36" borderId="0" xfId="0" applyNumberFormat="1" applyFill="1"/>
    <xf numFmtId="4" fontId="0" fillId="0" borderId="0" xfId="0" applyNumberFormat="1"/>
    <xf numFmtId="0" fontId="0" fillId="37" borderId="0" xfId="0" applyFill="1"/>
    <xf numFmtId="4" fontId="0" fillId="37" borderId="0" xfId="0" applyNumberFormat="1" applyFill="1"/>
    <xf numFmtId="3" fontId="19" fillId="0" borderId="0" xfId="0" applyNumberFormat="1" applyFont="1"/>
    <xf numFmtId="3" fontId="0" fillId="0" borderId="0" xfId="0" applyNumberFormat="1"/>
    <xf numFmtId="0" fontId="0" fillId="0" borderId="0" xfId="0" applyAlignment="1">
      <alignment vertical="center" wrapText="1"/>
    </xf>
    <xf numFmtId="17" fontId="0" fillId="0" borderId="0" xfId="0" applyNumberFormat="1"/>
    <xf numFmtId="0" fontId="0" fillId="0" borderId="0" xfId="0" quotePrefix="1"/>
    <xf numFmtId="0" fontId="0" fillId="0" borderId="11" xfId="0" applyBorder="1"/>
    <xf numFmtId="0" fontId="0" fillId="0" borderId="12" xfId="0" applyBorder="1"/>
    <xf numFmtId="3" fontId="0" fillId="0" borderId="14" xfId="0" applyNumberFormat="1" applyBorder="1"/>
    <xf numFmtId="3" fontId="0" fillId="0" borderId="15" xfId="0" applyNumberFormat="1" applyBorder="1"/>
    <xf numFmtId="0" fontId="16" fillId="0" borderId="13" xfId="0" applyFont="1" applyBorder="1"/>
    <xf numFmtId="0" fontId="16" fillId="0" borderId="10" xfId="0" applyFont="1" applyBorder="1" applyAlignment="1">
      <alignment horizontal="right"/>
    </xf>
    <xf numFmtId="169" fontId="0" fillId="0" borderId="0" xfId="0" applyNumberFormat="1"/>
    <xf numFmtId="169" fontId="18" fillId="33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Gold</a:t>
            </a:r>
            <a:r>
              <a:rPr lang="en-CA" baseline="0"/>
              <a:t> Price US$/oz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'Metal Historical Data '!$C$3</c:f>
              <c:strCache>
                <c:ptCount val="1"/>
                <c:pt idx="0">
                  <c:v>Spot (LME…)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'Metal Historical Data '!$B$4:$B$69</c:f>
              <c:numCache>
                <c:formatCode>mmm\-yy</c:formatCode>
                <c:ptCount val="66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</c:numCache>
            </c:numRef>
          </c:xVal>
          <c:yVal>
            <c:numRef>
              <c:f>'Metal Historical Data '!$C$4:$C$69</c:f>
              <c:numCache>
                <c:formatCode>#,##0.00</c:formatCode>
                <c:ptCount val="66"/>
                <c:pt idx="0">
                  <c:v>1278.5</c:v>
                </c:pt>
                <c:pt idx="1">
                  <c:v>1212.5999999999999</c:v>
                </c:pt>
                <c:pt idx="2">
                  <c:v>1183.0999999999999</c:v>
                </c:pt>
                <c:pt idx="3">
                  <c:v>1182.4000000000001</c:v>
                </c:pt>
                <c:pt idx="4">
                  <c:v>1189.4000000000001</c:v>
                </c:pt>
                <c:pt idx="5">
                  <c:v>1171.5</c:v>
                </c:pt>
                <c:pt idx="6">
                  <c:v>1094.9000000000001</c:v>
                </c:pt>
                <c:pt idx="7">
                  <c:v>1131.5999999999999</c:v>
                </c:pt>
                <c:pt idx="8">
                  <c:v>1115.5</c:v>
                </c:pt>
                <c:pt idx="9">
                  <c:v>1141.5</c:v>
                </c:pt>
                <c:pt idx="10">
                  <c:v>1065.8</c:v>
                </c:pt>
                <c:pt idx="11">
                  <c:v>1060.3</c:v>
                </c:pt>
                <c:pt idx="12">
                  <c:v>1116.4000000000001</c:v>
                </c:pt>
                <c:pt idx="13">
                  <c:v>1233.9000000000001</c:v>
                </c:pt>
                <c:pt idx="14">
                  <c:v>1234.2</c:v>
                </c:pt>
                <c:pt idx="15">
                  <c:v>1289.2</c:v>
                </c:pt>
                <c:pt idx="16">
                  <c:v>1214.8</c:v>
                </c:pt>
                <c:pt idx="17">
                  <c:v>1318.4</c:v>
                </c:pt>
                <c:pt idx="18">
                  <c:v>1349</c:v>
                </c:pt>
                <c:pt idx="19">
                  <c:v>1306.9000000000001</c:v>
                </c:pt>
                <c:pt idx="20">
                  <c:v>1313.3</c:v>
                </c:pt>
                <c:pt idx="21">
                  <c:v>1271.5</c:v>
                </c:pt>
                <c:pt idx="22">
                  <c:v>1170.8</c:v>
                </c:pt>
                <c:pt idx="23">
                  <c:v>1150</c:v>
                </c:pt>
                <c:pt idx="24">
                  <c:v>1208.5999999999999</c:v>
                </c:pt>
                <c:pt idx="25">
                  <c:v>1252.5999999999999</c:v>
                </c:pt>
                <c:pt idx="26">
                  <c:v>1247.3</c:v>
                </c:pt>
                <c:pt idx="27">
                  <c:v>1266.0999999999999</c:v>
                </c:pt>
                <c:pt idx="28">
                  <c:v>1272</c:v>
                </c:pt>
                <c:pt idx="29">
                  <c:v>1240.7</c:v>
                </c:pt>
                <c:pt idx="30">
                  <c:v>1266.5999999999999</c:v>
                </c:pt>
                <c:pt idx="31">
                  <c:v>1316.2</c:v>
                </c:pt>
                <c:pt idx="32">
                  <c:v>1281.5</c:v>
                </c:pt>
                <c:pt idx="33">
                  <c:v>1267</c:v>
                </c:pt>
                <c:pt idx="34">
                  <c:v>1273.2</c:v>
                </c:pt>
                <c:pt idx="35">
                  <c:v>1306.3</c:v>
                </c:pt>
                <c:pt idx="36">
                  <c:v>1339</c:v>
                </c:pt>
                <c:pt idx="37">
                  <c:v>1315.5</c:v>
                </c:pt>
                <c:pt idx="38">
                  <c:v>1322.8</c:v>
                </c:pt>
                <c:pt idx="39">
                  <c:v>1316.2</c:v>
                </c:pt>
                <c:pt idx="40">
                  <c:v>1300.0999999999999</c:v>
                </c:pt>
                <c:pt idx="41">
                  <c:v>1251.3</c:v>
                </c:pt>
                <c:pt idx="42">
                  <c:v>1223.7</c:v>
                </c:pt>
                <c:pt idx="43">
                  <c:v>1200.3</c:v>
                </c:pt>
                <c:pt idx="44">
                  <c:v>1191.5</c:v>
                </c:pt>
                <c:pt idx="45">
                  <c:v>1212.3</c:v>
                </c:pt>
                <c:pt idx="46">
                  <c:v>1220.2</c:v>
                </c:pt>
                <c:pt idx="47">
                  <c:v>1278.3</c:v>
                </c:pt>
                <c:pt idx="48">
                  <c:v>1319.7</c:v>
                </c:pt>
                <c:pt idx="49">
                  <c:v>1312.8</c:v>
                </c:pt>
                <c:pt idx="50">
                  <c:v>1293</c:v>
                </c:pt>
                <c:pt idx="51">
                  <c:v>1282.8</c:v>
                </c:pt>
                <c:pt idx="52">
                  <c:v>1305.8</c:v>
                </c:pt>
                <c:pt idx="53">
                  <c:v>1409.7</c:v>
                </c:pt>
                <c:pt idx="54">
                  <c:v>1426.1</c:v>
                </c:pt>
                <c:pt idx="55">
                  <c:v>1519.1</c:v>
                </c:pt>
                <c:pt idx="56">
                  <c:v>1465.7</c:v>
                </c:pt>
                <c:pt idx="57">
                  <c:v>1511.4</c:v>
                </c:pt>
                <c:pt idx="58">
                  <c:v>1465.6</c:v>
                </c:pt>
                <c:pt idx="59">
                  <c:v>1519.5</c:v>
                </c:pt>
                <c:pt idx="60">
                  <c:v>1587.9</c:v>
                </c:pt>
                <c:pt idx="61">
                  <c:v>1566.7</c:v>
                </c:pt>
                <c:pt idx="62">
                  <c:v>1592.1</c:v>
                </c:pt>
                <c:pt idx="63">
                  <c:v>1694.2</c:v>
                </c:pt>
                <c:pt idx="64">
                  <c:v>1751.7</c:v>
                </c:pt>
                <c:pt idx="65">
                  <c:v>1688.35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F5-4DA0-BFF7-9B34FBBBA420}"/>
            </c:ext>
          </c:extLst>
        </c:ser>
        <c:ser>
          <c:idx val="1"/>
          <c:order val="1"/>
          <c:tx>
            <c:strRef>
              <c:f>'Metal Historical Data '!$D$3</c:f>
              <c:strCache>
                <c:ptCount val="1"/>
                <c:pt idx="0">
                  <c:v>5 year Rolling Spot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'Metal Historical Data '!$B$4:$B$69</c:f>
              <c:numCache>
                <c:formatCode>mmm\-yy</c:formatCode>
                <c:ptCount val="66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</c:numCache>
            </c:numRef>
          </c:xVal>
          <c:yVal>
            <c:numRef>
              <c:f>'Metal Historical Data '!$D$4:$D$69</c:f>
              <c:numCache>
                <c:formatCode>#,##0.00</c:formatCode>
                <c:ptCount val="66"/>
                <c:pt idx="59">
                  <c:v>1266.5999999999999</c:v>
                </c:pt>
                <c:pt idx="60">
                  <c:v>1271.7566666666667</c:v>
                </c:pt>
                <c:pt idx="61">
                  <c:v>1277.6583333333333</c:v>
                </c:pt>
                <c:pt idx="62">
                  <c:v>1284.4749999999999</c:v>
                </c:pt>
                <c:pt idx="63">
                  <c:v>1293.0049999999999</c:v>
                </c:pt>
                <c:pt idx="64">
                  <c:v>1302.3766666666666</c:v>
                </c:pt>
                <c:pt idx="65">
                  <c:v>1310.9908333333333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F5-4DA0-BFF7-9B34FBBBA420}"/>
            </c:ext>
          </c:extLst>
        </c:ser>
        <c:ser>
          <c:idx val="2"/>
          <c:order val="2"/>
          <c:tx>
            <c:strRef>
              <c:f>'Metal Historical Data '!$E$3</c:f>
              <c:strCache>
                <c:ptCount val="1"/>
                <c:pt idx="0">
                  <c:v>3 year Rolling Spot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'Metal Historical Data '!$B$4:$B$69</c:f>
              <c:numCache>
                <c:formatCode>mmm\-yy</c:formatCode>
                <c:ptCount val="66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</c:numCache>
            </c:numRef>
          </c:xVal>
          <c:yVal>
            <c:numRef>
              <c:f>'Metal Historical Data '!$E$4:$E$69</c:f>
              <c:numCache>
                <c:formatCode>#,##0.00</c:formatCode>
                <c:ptCount val="66"/>
                <c:pt idx="35">
                  <c:v>1222.0444444444443</c:v>
                </c:pt>
                <c:pt idx="36">
                  <c:v>1223.7249999999995</c:v>
                </c:pt>
                <c:pt idx="37">
                  <c:v>1226.583333333333</c:v>
                </c:pt>
                <c:pt idx="38">
                  <c:v>1230.4638888888887</c:v>
                </c:pt>
                <c:pt idx="39">
                  <c:v>1234.1805555555554</c:v>
                </c:pt>
                <c:pt idx="40">
                  <c:v>1237.2555555555552</c:v>
                </c:pt>
                <c:pt idx="41">
                  <c:v>1239.4722222222219</c:v>
                </c:pt>
                <c:pt idx="42">
                  <c:v>1223.7</c:v>
                </c:pt>
                <c:pt idx="43">
                  <c:v>1200.3</c:v>
                </c:pt>
                <c:pt idx="44">
                  <c:v>1191.5</c:v>
                </c:pt>
                <c:pt idx="45">
                  <c:v>1212.3</c:v>
                </c:pt>
                <c:pt idx="46">
                  <c:v>1220.2</c:v>
                </c:pt>
                <c:pt idx="47">
                  <c:v>1259.3805555555557</c:v>
                </c:pt>
                <c:pt idx="48">
                  <c:v>1265.0277777777778</c:v>
                </c:pt>
                <c:pt idx="49">
                  <c:v>1267.2194444444444</c:v>
                </c:pt>
                <c:pt idx="50">
                  <c:v>1268.8527777777779</c:v>
                </c:pt>
                <c:pt idx="51">
                  <c:v>1268.6750000000002</c:v>
                </c:pt>
                <c:pt idx="52">
                  <c:v>1271.202777777778</c:v>
                </c:pt>
                <c:pt idx="53">
                  <c:v>1273.7388888888891</c:v>
                </c:pt>
                <c:pt idx="54">
                  <c:v>1275.8805555555557</c:v>
                </c:pt>
                <c:pt idx="55">
                  <c:v>1281.7750000000001</c:v>
                </c:pt>
                <c:pt idx="56">
                  <c:v>1286.0083333333332</c:v>
                </c:pt>
                <c:pt idx="57">
                  <c:v>1292.6722222222222</c:v>
                </c:pt>
                <c:pt idx="58">
                  <c:v>1300.8611111111111</c:v>
                </c:pt>
                <c:pt idx="59">
                  <c:v>1311.1249999999998</c:v>
                </c:pt>
                <c:pt idx="60">
                  <c:v>1321.661111111111</c:v>
                </c:pt>
                <c:pt idx="61">
                  <c:v>1330.3861111111107</c:v>
                </c:pt>
                <c:pt idx="62">
                  <c:v>1339.9638888888885</c:v>
                </c:pt>
                <c:pt idx="63">
                  <c:v>1351.8555555555549</c:v>
                </c:pt>
                <c:pt idx="64">
                  <c:v>1365.1805555555552</c:v>
                </c:pt>
                <c:pt idx="65">
                  <c:v>1377.6152777777772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F5-4DA0-BFF7-9B34FBBBA420}"/>
            </c:ext>
          </c:extLst>
        </c:ser>
        <c:ser>
          <c:idx val="3"/>
          <c:order val="3"/>
          <c:tx>
            <c:v>NI-43-101 FS Reports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'Metal Historical Data '!$M$4:$M$24</c:f>
              <c:numCache>
                <c:formatCode>mmm\-yy</c:formatCode>
                <c:ptCount val="21"/>
                <c:pt idx="0">
                  <c:v>43770</c:v>
                </c:pt>
                <c:pt idx="1">
                  <c:v>43739</c:v>
                </c:pt>
                <c:pt idx="2">
                  <c:v>43405</c:v>
                </c:pt>
                <c:pt idx="3">
                  <c:v>43132</c:v>
                </c:pt>
                <c:pt idx="4">
                  <c:v>43466</c:v>
                </c:pt>
                <c:pt idx="5">
                  <c:v>43497</c:v>
                </c:pt>
                <c:pt idx="6">
                  <c:v>42795</c:v>
                </c:pt>
                <c:pt idx="10">
                  <c:v>42675</c:v>
                </c:pt>
                <c:pt idx="11">
                  <c:v>42795</c:v>
                </c:pt>
                <c:pt idx="12">
                  <c:v>42826</c:v>
                </c:pt>
                <c:pt idx="13">
                  <c:v>43009</c:v>
                </c:pt>
                <c:pt idx="14">
                  <c:v>43040</c:v>
                </c:pt>
                <c:pt idx="15">
                  <c:v>43040</c:v>
                </c:pt>
                <c:pt idx="16">
                  <c:v>43132</c:v>
                </c:pt>
                <c:pt idx="17">
                  <c:v>43160</c:v>
                </c:pt>
                <c:pt idx="18">
                  <c:v>43160</c:v>
                </c:pt>
                <c:pt idx="19">
                  <c:v>43282</c:v>
                </c:pt>
                <c:pt idx="20">
                  <c:v>43282</c:v>
                </c:pt>
              </c:numCache>
            </c:numRef>
          </c:xVal>
          <c:yVal>
            <c:numRef>
              <c:f>'Metal Historical Data '!$L$4:$L$24</c:f>
              <c:numCache>
                <c:formatCode>General</c:formatCode>
                <c:ptCount val="21"/>
                <c:pt idx="0">
                  <c:v>1050</c:v>
                </c:pt>
                <c:pt idx="1">
                  <c:v>1610</c:v>
                </c:pt>
                <c:pt idx="2">
                  <c:v>1330</c:v>
                </c:pt>
                <c:pt idx="3">
                  <c:v>1610</c:v>
                </c:pt>
                <c:pt idx="4">
                  <c:v>1330</c:v>
                </c:pt>
                <c:pt idx="5">
                  <c:v>1365</c:v>
                </c:pt>
                <c:pt idx="6">
                  <c:v>1750</c:v>
                </c:pt>
                <c:pt idx="10" formatCode="#,##0">
                  <c:v>1400</c:v>
                </c:pt>
                <c:pt idx="11" formatCode="#,##0">
                  <c:v>1750</c:v>
                </c:pt>
                <c:pt idx="12" formatCode="#,##0">
                  <c:v>1470</c:v>
                </c:pt>
                <c:pt idx="13" formatCode="#,##0">
                  <c:v>1407</c:v>
                </c:pt>
                <c:pt idx="14" formatCode="#,##0">
                  <c:v>1050</c:v>
                </c:pt>
                <c:pt idx="15" formatCode="#,##0">
                  <c:v>1470</c:v>
                </c:pt>
                <c:pt idx="16" formatCode="#,##0">
                  <c:v>1610</c:v>
                </c:pt>
                <c:pt idx="17" formatCode="#,##0">
                  <c:v>1407</c:v>
                </c:pt>
                <c:pt idx="18" formatCode="#,##0">
                  <c:v>909.99999999999989</c:v>
                </c:pt>
                <c:pt idx="19" formatCode="#,##0">
                  <c:v>1400</c:v>
                </c:pt>
                <c:pt idx="20" formatCode="#,##0">
                  <c:v>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F5-4DA0-BFF7-9B34FBBBA420}"/>
            </c:ext>
          </c:extLst>
        </c:ser>
        <c:ser>
          <c:idx val="4"/>
          <c:order val="4"/>
          <c:tx>
            <c:v>NI-43-101 PFS Reports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'Metal Historical Data '!$Q$4:$Q$10</c:f>
              <c:numCache>
                <c:formatCode>mmm\-yy</c:formatCode>
                <c:ptCount val="7"/>
                <c:pt idx="0">
                  <c:v>43282</c:v>
                </c:pt>
                <c:pt idx="1">
                  <c:v>43160</c:v>
                </c:pt>
                <c:pt idx="2">
                  <c:v>43282</c:v>
                </c:pt>
                <c:pt idx="3">
                  <c:v>43525</c:v>
                </c:pt>
                <c:pt idx="4">
                  <c:v>43009</c:v>
                </c:pt>
                <c:pt idx="5">
                  <c:v>43040</c:v>
                </c:pt>
                <c:pt idx="6">
                  <c:v>43556</c:v>
                </c:pt>
              </c:numCache>
            </c:numRef>
          </c:xVal>
          <c:yVal>
            <c:numRef>
              <c:f>'Metal Historical Data '!$P$4:$P$10</c:f>
              <c:numCache>
                <c:formatCode>General</c:formatCode>
                <c:ptCount val="7"/>
                <c:pt idx="0">
                  <c:v>1400</c:v>
                </c:pt>
                <c:pt idx="1">
                  <c:v>1407</c:v>
                </c:pt>
                <c:pt idx="2">
                  <c:v>1400</c:v>
                </c:pt>
                <c:pt idx="3">
                  <c:v>1260</c:v>
                </c:pt>
                <c:pt idx="4">
                  <c:v>1407</c:v>
                </c:pt>
                <c:pt idx="5">
                  <c:v>1050</c:v>
                </c:pt>
                <c:pt idx="6">
                  <c:v>1330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F5-4DA0-BFF7-9B34FBBBA420}"/>
            </c:ext>
          </c:extLst>
        </c:ser>
        <c:ser>
          <c:idx val="5"/>
          <c:order val="5"/>
          <c:tx>
            <c:v>NI-43-101 PEA Reports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'Metal Historical Data '!$U$4:$U$10</c:f>
              <c:numCache>
                <c:formatCode>mmm\-yy</c:formatCode>
                <c:ptCount val="7"/>
                <c:pt idx="0">
                  <c:v>42826</c:v>
                </c:pt>
                <c:pt idx="1">
                  <c:v>43586</c:v>
                </c:pt>
                <c:pt idx="2">
                  <c:v>43040</c:v>
                </c:pt>
                <c:pt idx="3">
                  <c:v>43160</c:v>
                </c:pt>
                <c:pt idx="4">
                  <c:v>43952</c:v>
                </c:pt>
                <c:pt idx="5">
                  <c:v>42675</c:v>
                </c:pt>
                <c:pt idx="6">
                  <c:v>43313</c:v>
                </c:pt>
              </c:numCache>
            </c:numRef>
          </c:xVal>
          <c:yVal>
            <c:numRef>
              <c:f>'Metal Historical Data '!$T$4:$T$10</c:f>
              <c:numCache>
                <c:formatCode>General</c:formatCode>
                <c:ptCount val="7"/>
                <c:pt idx="0">
                  <c:v>1470</c:v>
                </c:pt>
                <c:pt idx="1">
                  <c:v>1190</c:v>
                </c:pt>
                <c:pt idx="2">
                  <c:v>1470</c:v>
                </c:pt>
                <c:pt idx="3">
                  <c:v>909.99999999999989</c:v>
                </c:pt>
                <c:pt idx="4">
                  <c:v>1470</c:v>
                </c:pt>
                <c:pt idx="5">
                  <c:v>1400</c:v>
                </c:pt>
                <c:pt idx="6">
                  <c:v>1190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F5-4DA0-BFF7-9B34FBBBA420}"/>
            </c:ext>
          </c:extLst>
        </c:ser>
        <c:ser>
          <c:idx val="6"/>
          <c:order val="6"/>
          <c:tx>
            <c:strRef>
              <c:f>'Metal Historical Data '!$O$13</c:f>
              <c:strCache>
                <c:ptCount val="1"/>
                <c:pt idx="0">
                  <c:v>Project Mean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'Metal Historical Data '!$M$14:$M$34</c:f>
              <c:numCache>
                <c:formatCode>mmm\-yy</c:formatCode>
                <c:ptCount val="21"/>
                <c:pt idx="0">
                  <c:v>42675</c:v>
                </c:pt>
                <c:pt idx="1">
                  <c:v>42795</c:v>
                </c:pt>
                <c:pt idx="2">
                  <c:v>42826</c:v>
                </c:pt>
                <c:pt idx="3">
                  <c:v>43009</c:v>
                </c:pt>
                <c:pt idx="4">
                  <c:v>43040</c:v>
                </c:pt>
                <c:pt idx="5">
                  <c:v>43040</c:v>
                </c:pt>
                <c:pt idx="6">
                  <c:v>43132</c:v>
                </c:pt>
                <c:pt idx="7">
                  <c:v>43160</c:v>
                </c:pt>
                <c:pt idx="8">
                  <c:v>43160</c:v>
                </c:pt>
                <c:pt idx="9">
                  <c:v>43282</c:v>
                </c:pt>
                <c:pt idx="10">
                  <c:v>43282</c:v>
                </c:pt>
                <c:pt idx="11">
                  <c:v>43313</c:v>
                </c:pt>
                <c:pt idx="12">
                  <c:v>43405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43739</c:v>
                </c:pt>
                <c:pt idx="19">
                  <c:v>43770</c:v>
                </c:pt>
                <c:pt idx="20">
                  <c:v>43952</c:v>
                </c:pt>
              </c:numCache>
            </c:numRef>
          </c:xVal>
          <c:yVal>
            <c:numRef>
              <c:f>'Metal Historical Data '!$O$14:$O$34</c:f>
              <c:numCache>
                <c:formatCode>General</c:formatCode>
                <c:ptCount val="21"/>
                <c:pt idx="2" formatCode="#,##0">
                  <c:v>1540</c:v>
                </c:pt>
                <c:pt idx="3" formatCode="#,##0">
                  <c:v>1506.75</c:v>
                </c:pt>
                <c:pt idx="4" formatCode="#,##0">
                  <c:v>1419.25</c:v>
                </c:pt>
                <c:pt idx="5" formatCode="#,##0">
                  <c:v>1349.25</c:v>
                </c:pt>
                <c:pt idx="6" formatCode="#,##0">
                  <c:v>1384.25</c:v>
                </c:pt>
                <c:pt idx="7" formatCode="#,##0">
                  <c:v>1384.25</c:v>
                </c:pt>
                <c:pt idx="8" formatCode="#,##0">
                  <c:v>1349.25</c:v>
                </c:pt>
                <c:pt idx="9" formatCode="#,##0">
                  <c:v>1331.75</c:v>
                </c:pt>
                <c:pt idx="10" formatCode="#,##0">
                  <c:v>1279.25</c:v>
                </c:pt>
                <c:pt idx="11" formatCode="#,##0">
                  <c:v>1225</c:v>
                </c:pt>
                <c:pt idx="12" formatCode="#,##0">
                  <c:v>1330</c:v>
                </c:pt>
                <c:pt idx="13" formatCode="#,##0">
                  <c:v>1312.5</c:v>
                </c:pt>
                <c:pt idx="14" formatCode="#,##0">
                  <c:v>1303.75</c:v>
                </c:pt>
                <c:pt idx="15" formatCode="#,##0">
                  <c:v>1321.25</c:v>
                </c:pt>
                <c:pt idx="16" formatCode="#,##0">
                  <c:v>1321.25</c:v>
                </c:pt>
                <c:pt idx="17" formatCode="#,##0">
                  <c:v>1286.25</c:v>
                </c:pt>
                <c:pt idx="18" formatCode="#,##0">
                  <c:v>1347.5</c:v>
                </c:pt>
                <c:pt idx="19" formatCode="#,##0">
                  <c:v>1295</c:v>
                </c:pt>
                <c:pt idx="20" formatCode="#,##0">
                  <c:v>1330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F5-4DA0-BFF7-9B34FBBBA420}"/>
            </c:ext>
          </c:extLst>
        </c:ser>
        <c:ser>
          <c:idx val="7"/>
          <c:order val="7"/>
          <c:tx>
            <c:strRef>
              <c:f>'Metal Historical Data '!$P$13</c:f>
              <c:strCache>
                <c:ptCount val="1"/>
                <c:pt idx="0">
                  <c:v>Project Rolling mean +1sd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'Metal Historical Data '!$M$14:$M$34</c:f>
              <c:numCache>
                <c:formatCode>mmm\-yy</c:formatCode>
                <c:ptCount val="21"/>
                <c:pt idx="0">
                  <c:v>42675</c:v>
                </c:pt>
                <c:pt idx="1">
                  <c:v>42795</c:v>
                </c:pt>
                <c:pt idx="2">
                  <c:v>42826</c:v>
                </c:pt>
                <c:pt idx="3">
                  <c:v>43009</c:v>
                </c:pt>
                <c:pt idx="4">
                  <c:v>43040</c:v>
                </c:pt>
                <c:pt idx="5">
                  <c:v>43040</c:v>
                </c:pt>
                <c:pt idx="6">
                  <c:v>43132</c:v>
                </c:pt>
                <c:pt idx="7">
                  <c:v>43160</c:v>
                </c:pt>
                <c:pt idx="8">
                  <c:v>43160</c:v>
                </c:pt>
                <c:pt idx="9">
                  <c:v>43282</c:v>
                </c:pt>
                <c:pt idx="10">
                  <c:v>43282</c:v>
                </c:pt>
                <c:pt idx="11">
                  <c:v>43313</c:v>
                </c:pt>
                <c:pt idx="12">
                  <c:v>43405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43739</c:v>
                </c:pt>
                <c:pt idx="19">
                  <c:v>43770</c:v>
                </c:pt>
                <c:pt idx="20">
                  <c:v>43952</c:v>
                </c:pt>
              </c:numCache>
            </c:numRef>
          </c:xVal>
          <c:yVal>
            <c:numRef>
              <c:f>'Metal Historical Data '!$P$14:$P$34</c:f>
              <c:numCache>
                <c:formatCode>General</c:formatCode>
                <c:ptCount val="21"/>
                <c:pt idx="2">
                  <c:v>1770.9999999999998</c:v>
                </c:pt>
                <c:pt idx="3">
                  <c:v>1732.7624999999998</c:v>
                </c:pt>
                <c:pt idx="4">
                  <c:v>1632.1374999999998</c:v>
                </c:pt>
                <c:pt idx="5">
                  <c:v>1551.6374999999998</c:v>
                </c:pt>
                <c:pt idx="6">
                  <c:v>1591.8874999999998</c:v>
                </c:pt>
                <c:pt idx="7">
                  <c:v>1591.8874999999998</c:v>
                </c:pt>
                <c:pt idx="8">
                  <c:v>1551.6374999999998</c:v>
                </c:pt>
                <c:pt idx="9">
                  <c:v>1531.5124999999998</c:v>
                </c:pt>
                <c:pt idx="10">
                  <c:v>1471.1374999999998</c:v>
                </c:pt>
                <c:pt idx="11">
                  <c:v>1408.75</c:v>
                </c:pt>
                <c:pt idx="12">
                  <c:v>1529.4999999999998</c:v>
                </c:pt>
                <c:pt idx="13">
                  <c:v>1509.3749999999998</c:v>
                </c:pt>
                <c:pt idx="14">
                  <c:v>1499.3124999999998</c:v>
                </c:pt>
                <c:pt idx="15">
                  <c:v>1519.4374999999998</c:v>
                </c:pt>
                <c:pt idx="16">
                  <c:v>1519.4374999999998</c:v>
                </c:pt>
                <c:pt idx="17">
                  <c:v>1479.1874999999998</c:v>
                </c:pt>
                <c:pt idx="18">
                  <c:v>1549.6249999999998</c:v>
                </c:pt>
                <c:pt idx="19">
                  <c:v>1489.2499999999998</c:v>
                </c:pt>
                <c:pt idx="20">
                  <c:v>1529.4999999999998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F5-4DA0-BFF7-9B34FBBBA420}"/>
            </c:ext>
          </c:extLst>
        </c:ser>
        <c:ser>
          <c:idx val="8"/>
          <c:order val="8"/>
          <c:tx>
            <c:strRef>
              <c:f>'Metal Historical Data '!$Q$13</c:f>
              <c:strCache>
                <c:ptCount val="1"/>
                <c:pt idx="0">
                  <c:v>Project Rolling mean +2sd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'Metal Historical Data '!$M$14:$M$34</c:f>
              <c:numCache>
                <c:formatCode>mmm\-yy</c:formatCode>
                <c:ptCount val="21"/>
                <c:pt idx="0">
                  <c:v>42675</c:v>
                </c:pt>
                <c:pt idx="1">
                  <c:v>42795</c:v>
                </c:pt>
                <c:pt idx="2">
                  <c:v>42826</c:v>
                </c:pt>
                <c:pt idx="3">
                  <c:v>43009</c:v>
                </c:pt>
                <c:pt idx="4">
                  <c:v>43040</c:v>
                </c:pt>
                <c:pt idx="5">
                  <c:v>43040</c:v>
                </c:pt>
                <c:pt idx="6">
                  <c:v>43132</c:v>
                </c:pt>
                <c:pt idx="7">
                  <c:v>43160</c:v>
                </c:pt>
                <c:pt idx="8">
                  <c:v>43160</c:v>
                </c:pt>
                <c:pt idx="9">
                  <c:v>43282</c:v>
                </c:pt>
                <c:pt idx="10">
                  <c:v>43282</c:v>
                </c:pt>
                <c:pt idx="11">
                  <c:v>43313</c:v>
                </c:pt>
                <c:pt idx="12">
                  <c:v>43405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43739</c:v>
                </c:pt>
                <c:pt idx="19">
                  <c:v>43770</c:v>
                </c:pt>
                <c:pt idx="20">
                  <c:v>43952</c:v>
                </c:pt>
              </c:numCache>
            </c:numRef>
          </c:xVal>
          <c:yVal>
            <c:numRef>
              <c:f>'Metal Historical Data '!$Q$14:$Q$34</c:f>
              <c:numCache>
                <c:formatCode>General</c:formatCode>
                <c:ptCount val="21"/>
                <c:pt idx="2">
                  <c:v>1925</c:v>
                </c:pt>
                <c:pt idx="3">
                  <c:v>1883.4375</c:v>
                </c:pt>
                <c:pt idx="4">
                  <c:v>1774.0625</c:v>
                </c:pt>
                <c:pt idx="5">
                  <c:v>1686.5625</c:v>
                </c:pt>
                <c:pt idx="6">
                  <c:v>1730.3125</c:v>
                </c:pt>
                <c:pt idx="7">
                  <c:v>1730.3125</c:v>
                </c:pt>
                <c:pt idx="8">
                  <c:v>1686.5625</c:v>
                </c:pt>
                <c:pt idx="9">
                  <c:v>1664.6875</c:v>
                </c:pt>
                <c:pt idx="10">
                  <c:v>1599.0625</c:v>
                </c:pt>
                <c:pt idx="11">
                  <c:v>1531.25</c:v>
                </c:pt>
                <c:pt idx="12">
                  <c:v>1662.5</c:v>
                </c:pt>
                <c:pt idx="13">
                  <c:v>1640.625</c:v>
                </c:pt>
                <c:pt idx="14">
                  <c:v>1629.6875</c:v>
                </c:pt>
                <c:pt idx="15">
                  <c:v>1651.5625</c:v>
                </c:pt>
                <c:pt idx="16">
                  <c:v>1651.5625</c:v>
                </c:pt>
                <c:pt idx="17">
                  <c:v>1607.8125</c:v>
                </c:pt>
                <c:pt idx="18">
                  <c:v>1684.375</c:v>
                </c:pt>
                <c:pt idx="19">
                  <c:v>1618.75</c:v>
                </c:pt>
                <c:pt idx="20">
                  <c:v>1662.5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8F5-4DA0-BFF7-9B34FBBBA420}"/>
            </c:ext>
          </c:extLst>
        </c:ser>
        <c:ser>
          <c:idx val="9"/>
          <c:order val="9"/>
          <c:tx>
            <c:strRef>
              <c:f>'Metal Historical Data '!$R$13</c:f>
              <c:strCache>
                <c:ptCount val="1"/>
                <c:pt idx="0">
                  <c:v>Project Rolling mean -1sd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'Metal Historical Data '!$M$14:$M$34</c:f>
              <c:numCache>
                <c:formatCode>mmm\-yy</c:formatCode>
                <c:ptCount val="21"/>
                <c:pt idx="0">
                  <c:v>42675</c:v>
                </c:pt>
                <c:pt idx="1">
                  <c:v>42795</c:v>
                </c:pt>
                <c:pt idx="2">
                  <c:v>42826</c:v>
                </c:pt>
                <c:pt idx="3">
                  <c:v>43009</c:v>
                </c:pt>
                <c:pt idx="4">
                  <c:v>43040</c:v>
                </c:pt>
                <c:pt idx="5">
                  <c:v>43040</c:v>
                </c:pt>
                <c:pt idx="6">
                  <c:v>43132</c:v>
                </c:pt>
                <c:pt idx="7">
                  <c:v>43160</c:v>
                </c:pt>
                <c:pt idx="8">
                  <c:v>43160</c:v>
                </c:pt>
                <c:pt idx="9">
                  <c:v>43282</c:v>
                </c:pt>
                <c:pt idx="10">
                  <c:v>43282</c:v>
                </c:pt>
                <c:pt idx="11">
                  <c:v>43313</c:v>
                </c:pt>
                <c:pt idx="12">
                  <c:v>43405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43739</c:v>
                </c:pt>
                <c:pt idx="19">
                  <c:v>43770</c:v>
                </c:pt>
                <c:pt idx="20">
                  <c:v>43952</c:v>
                </c:pt>
              </c:numCache>
            </c:numRef>
          </c:xVal>
          <c:yVal>
            <c:numRef>
              <c:f>'Metal Historical Data '!$R$14:$R$34</c:f>
              <c:numCache>
                <c:formatCode>General</c:formatCode>
                <c:ptCount val="21"/>
                <c:pt idx="2">
                  <c:v>1232</c:v>
                </c:pt>
                <c:pt idx="3">
                  <c:v>1205.4000000000001</c:v>
                </c:pt>
                <c:pt idx="4">
                  <c:v>1135.4000000000001</c:v>
                </c:pt>
                <c:pt idx="5">
                  <c:v>1079.4000000000001</c:v>
                </c:pt>
                <c:pt idx="6">
                  <c:v>1107.4000000000001</c:v>
                </c:pt>
                <c:pt idx="7">
                  <c:v>1107.4000000000001</c:v>
                </c:pt>
                <c:pt idx="8">
                  <c:v>1079.4000000000001</c:v>
                </c:pt>
                <c:pt idx="9">
                  <c:v>1065.4000000000001</c:v>
                </c:pt>
                <c:pt idx="10">
                  <c:v>1023.4</c:v>
                </c:pt>
                <c:pt idx="11">
                  <c:v>980</c:v>
                </c:pt>
                <c:pt idx="12">
                  <c:v>1064</c:v>
                </c:pt>
                <c:pt idx="13">
                  <c:v>1050</c:v>
                </c:pt>
                <c:pt idx="14">
                  <c:v>1043</c:v>
                </c:pt>
                <c:pt idx="15">
                  <c:v>1057</c:v>
                </c:pt>
                <c:pt idx="16">
                  <c:v>1057</c:v>
                </c:pt>
                <c:pt idx="17">
                  <c:v>1029</c:v>
                </c:pt>
                <c:pt idx="18">
                  <c:v>1078</c:v>
                </c:pt>
                <c:pt idx="19">
                  <c:v>1036</c:v>
                </c:pt>
                <c:pt idx="20">
                  <c:v>1064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F5-4DA0-BFF7-9B34FBBBA420}"/>
            </c:ext>
          </c:extLst>
        </c:ser>
        <c:ser>
          <c:idx val="10"/>
          <c:order val="10"/>
          <c:tx>
            <c:strRef>
              <c:f>'Metal Historical Data '!$S$13</c:f>
              <c:strCache>
                <c:ptCount val="1"/>
                <c:pt idx="0">
                  <c:v>Project Rolling mean -2sd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'Metal Historical Data '!$M$14:$M$34</c:f>
              <c:numCache>
                <c:formatCode>mmm\-yy</c:formatCode>
                <c:ptCount val="21"/>
                <c:pt idx="0">
                  <c:v>42675</c:v>
                </c:pt>
                <c:pt idx="1">
                  <c:v>42795</c:v>
                </c:pt>
                <c:pt idx="2">
                  <c:v>42826</c:v>
                </c:pt>
                <c:pt idx="3">
                  <c:v>43009</c:v>
                </c:pt>
                <c:pt idx="4">
                  <c:v>43040</c:v>
                </c:pt>
                <c:pt idx="5">
                  <c:v>43040</c:v>
                </c:pt>
                <c:pt idx="6">
                  <c:v>43132</c:v>
                </c:pt>
                <c:pt idx="7">
                  <c:v>43160</c:v>
                </c:pt>
                <c:pt idx="8">
                  <c:v>43160</c:v>
                </c:pt>
                <c:pt idx="9">
                  <c:v>43282</c:v>
                </c:pt>
                <c:pt idx="10">
                  <c:v>43282</c:v>
                </c:pt>
                <c:pt idx="11">
                  <c:v>43313</c:v>
                </c:pt>
                <c:pt idx="12">
                  <c:v>43405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43739</c:v>
                </c:pt>
                <c:pt idx="19">
                  <c:v>43770</c:v>
                </c:pt>
                <c:pt idx="20">
                  <c:v>43952</c:v>
                </c:pt>
              </c:numCache>
            </c:numRef>
          </c:xVal>
          <c:yVal>
            <c:numRef>
              <c:f>'Metal Historical Data '!$S$14:$S$34</c:f>
              <c:numCache>
                <c:formatCode>General</c:formatCode>
                <c:ptCount val="21"/>
                <c:pt idx="2">
                  <c:v>1026.6666666666667</c:v>
                </c:pt>
                <c:pt idx="3">
                  <c:v>1004.5</c:v>
                </c:pt>
                <c:pt idx="4">
                  <c:v>946.16666666666663</c:v>
                </c:pt>
                <c:pt idx="5">
                  <c:v>899.5</c:v>
                </c:pt>
                <c:pt idx="6">
                  <c:v>922.83333333333337</c:v>
                </c:pt>
                <c:pt idx="7">
                  <c:v>922.83333333333337</c:v>
                </c:pt>
                <c:pt idx="8">
                  <c:v>899.5</c:v>
                </c:pt>
                <c:pt idx="9">
                  <c:v>887.83333333333337</c:v>
                </c:pt>
                <c:pt idx="10">
                  <c:v>852.83333333333337</c:v>
                </c:pt>
                <c:pt idx="11">
                  <c:v>816.66666666666663</c:v>
                </c:pt>
                <c:pt idx="12">
                  <c:v>886.66666666666663</c:v>
                </c:pt>
                <c:pt idx="13">
                  <c:v>875</c:v>
                </c:pt>
                <c:pt idx="14">
                  <c:v>869.16666666666663</c:v>
                </c:pt>
                <c:pt idx="15">
                  <c:v>880.83333333333337</c:v>
                </c:pt>
                <c:pt idx="16">
                  <c:v>880.83333333333337</c:v>
                </c:pt>
                <c:pt idx="17">
                  <c:v>857.5</c:v>
                </c:pt>
                <c:pt idx="18">
                  <c:v>898.33333333333337</c:v>
                </c:pt>
                <c:pt idx="19">
                  <c:v>863.33333333333337</c:v>
                </c:pt>
                <c:pt idx="20">
                  <c:v>886.66666666666663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8F5-4DA0-BFF7-9B34FBBB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259295"/>
        <c:axId val="861257375"/>
      </c:scatterChart>
      <c:valAx>
        <c:axId val="8612592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57375"/>
        <c:crosses val="autoZero"/>
        <c:crossBetween val="midCat"/>
      </c:valAx>
      <c:valAx>
        <c:axId val="861257375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59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208597</xdr:colOff>
      <xdr:row>50</xdr:row>
      <xdr:rowOff>151038</xdr:rowOff>
    </xdr:from>
    <xdr:to>
      <xdr:col>18</xdr:col>
      <xdr:colOff>462915</xdr:colOff>
      <xdr:row>68</xdr:row>
      <xdr:rowOff>164373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286B3-2A73-C803-9063-FCFE4DA2C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558165</xdr:colOff>
      <xdr:row>58</xdr:row>
      <xdr:rowOff>9525</xdr:rowOff>
    </xdr:from>
    <xdr:to>
      <xdr:col>10</xdr:col>
      <xdr:colOff>1813953</xdr:colOff>
      <xdr:row>62</xdr:row>
      <xdr:rowOff>56150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C9D2D4-4840-A456-4B5D-BCD08AADE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4165" y="10544175"/>
          <a:ext cx="1255788" cy="77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32"/>
  <sheetViews>
    <sheetView zoomScale="85" zoomScaleNormal="85" workbookViewId="0">
      <selection activeCell="K1" sqref="K1:U10"/>
    </sheetView>
  </sheetViews>
  <sheetFormatPr defaultRowHeight="14.4" x14ac:dyDescent="0.3"/>
  <cols>
    <col min="11" max="11" width="30.21875" customWidth="1"/>
  </cols>
  <sheetData>
    <row r="1" spans="1:25" x14ac:dyDescent="0.3">
      <c r="K1" t="s">
        <v>34</v>
      </c>
      <c r="O1" t="s">
        <v>35</v>
      </c>
      <c r="S1" t="s">
        <v>36</v>
      </c>
    </row>
    <row r="2" spans="1:25" x14ac:dyDescent="0.3">
      <c r="C2" s="1" t="s">
        <v>5</v>
      </c>
      <c r="D2" s="1"/>
      <c r="E2" s="1"/>
      <c r="F2" s="2" t="s">
        <v>4</v>
      </c>
      <c r="G2" s="3" t="s">
        <v>3</v>
      </c>
      <c r="H2" s="7" t="s">
        <v>2</v>
      </c>
      <c r="I2" s="10" t="s">
        <v>6</v>
      </c>
      <c r="K2" t="s">
        <v>8</v>
      </c>
      <c r="L2" t="s">
        <v>5</v>
      </c>
      <c r="M2" t="s">
        <v>32</v>
      </c>
      <c r="O2" t="s">
        <v>8</v>
      </c>
      <c r="P2" t="s">
        <v>5</v>
      </c>
      <c r="Q2" t="s">
        <v>32</v>
      </c>
      <c r="S2" t="s">
        <v>8</v>
      </c>
      <c r="T2" t="s">
        <v>5</v>
      </c>
      <c r="U2" t="s">
        <v>32</v>
      </c>
      <c r="X2" t="s">
        <v>5</v>
      </c>
      <c r="Y2" t="s">
        <v>31</v>
      </c>
    </row>
    <row r="3" spans="1:25" x14ac:dyDescent="0.3">
      <c r="B3" s="4" t="s">
        <v>0</v>
      </c>
      <c r="C3" s="4" t="s">
        <v>33</v>
      </c>
      <c r="D3" s="4" t="s">
        <v>46</v>
      </c>
      <c r="E3" s="4" t="s">
        <v>47</v>
      </c>
      <c r="F3" s="2" t="s">
        <v>45</v>
      </c>
      <c r="G3" s="3" t="s">
        <v>33</v>
      </c>
      <c r="H3" s="7" t="s">
        <v>45</v>
      </c>
      <c r="I3" s="10" t="s">
        <v>45</v>
      </c>
      <c r="L3" t="s">
        <v>1</v>
      </c>
      <c r="M3" t="s">
        <v>0</v>
      </c>
      <c r="P3" t="s">
        <v>1</v>
      </c>
      <c r="Q3" t="s">
        <v>0</v>
      </c>
      <c r="T3" t="s">
        <v>1</v>
      </c>
      <c r="U3" t="s">
        <v>0</v>
      </c>
      <c r="X3" t="s">
        <v>4</v>
      </c>
      <c r="Y3" t="s">
        <v>31</v>
      </c>
    </row>
    <row r="4" spans="1:25" ht="15.6" x14ac:dyDescent="0.3">
      <c r="A4">
        <v>1</v>
      </c>
      <c r="B4" s="5">
        <v>42005</v>
      </c>
      <c r="C4" s="6">
        <v>1278.5</v>
      </c>
      <c r="D4" s="6"/>
      <c r="E4" s="6"/>
      <c r="F4" s="2">
        <v>2.528</v>
      </c>
      <c r="G4" s="3">
        <v>17.192</v>
      </c>
      <c r="H4" s="8">
        <v>2119.5</v>
      </c>
      <c r="I4" s="11">
        <v>1858.5</v>
      </c>
      <c r="J4" s="12"/>
      <c r="K4" t="s">
        <v>9</v>
      </c>
      <c r="L4">
        <v>1050</v>
      </c>
      <c r="M4" s="15">
        <v>43770</v>
      </c>
      <c r="O4" t="s">
        <v>19</v>
      </c>
      <c r="P4">
        <v>1400</v>
      </c>
      <c r="Q4" s="15">
        <v>43282</v>
      </c>
      <c r="S4" t="s">
        <v>20</v>
      </c>
      <c r="T4">
        <v>1470</v>
      </c>
      <c r="U4" s="15">
        <v>42826</v>
      </c>
      <c r="X4" t="s">
        <v>3</v>
      </c>
      <c r="Y4" t="s">
        <v>31</v>
      </c>
    </row>
    <row r="5" spans="1:25" ht="15.6" x14ac:dyDescent="0.3">
      <c r="A5">
        <v>2</v>
      </c>
      <c r="B5" s="5">
        <v>42036</v>
      </c>
      <c r="C5" s="6">
        <v>1212.5999999999999</v>
      </c>
      <c r="D5" s="6"/>
      <c r="E5" s="6"/>
      <c r="F5" s="2">
        <v>2.7160000000000002</v>
      </c>
      <c r="G5" s="3">
        <v>16.513000000000002</v>
      </c>
      <c r="H5" s="8">
        <v>2065</v>
      </c>
      <c r="I5" s="11">
        <v>1727</v>
      </c>
      <c r="J5" s="12"/>
      <c r="K5" t="s">
        <v>18</v>
      </c>
      <c r="L5">
        <v>1610</v>
      </c>
      <c r="M5" s="15">
        <v>43739</v>
      </c>
      <c r="O5" t="s">
        <v>22</v>
      </c>
      <c r="P5">
        <v>1407</v>
      </c>
      <c r="Q5" s="15">
        <v>43160</v>
      </c>
      <c r="S5" t="s">
        <v>23</v>
      </c>
      <c r="T5">
        <v>1190</v>
      </c>
      <c r="U5" s="15">
        <v>43586</v>
      </c>
      <c r="X5" t="s">
        <v>2</v>
      </c>
      <c r="Y5" t="s">
        <v>30</v>
      </c>
    </row>
    <row r="6" spans="1:25" x14ac:dyDescent="0.3">
      <c r="A6">
        <v>3</v>
      </c>
      <c r="B6" s="5">
        <v>42064</v>
      </c>
      <c r="C6" s="6">
        <v>1183.0999999999999</v>
      </c>
      <c r="D6" s="6"/>
      <c r="E6" s="6"/>
      <c r="F6" s="2">
        <v>2.7469999999999999</v>
      </c>
      <c r="G6" s="3">
        <v>16.581</v>
      </c>
      <c r="H6" s="8">
        <v>2080</v>
      </c>
      <c r="I6" s="11">
        <v>1818.5</v>
      </c>
      <c r="J6" s="13"/>
      <c r="K6" t="s">
        <v>21</v>
      </c>
      <c r="L6">
        <v>1330</v>
      </c>
      <c r="M6" s="15">
        <v>43405</v>
      </c>
      <c r="O6" t="s">
        <v>25</v>
      </c>
      <c r="P6">
        <v>1400</v>
      </c>
      <c r="Q6" s="15">
        <v>43282</v>
      </c>
      <c r="S6" t="s">
        <v>26</v>
      </c>
      <c r="T6">
        <v>1470</v>
      </c>
      <c r="U6" s="15">
        <v>43040</v>
      </c>
      <c r="X6" t="s">
        <v>6</v>
      </c>
      <c r="Y6" t="s">
        <v>30</v>
      </c>
    </row>
    <row r="7" spans="1:25" x14ac:dyDescent="0.3">
      <c r="A7">
        <v>4</v>
      </c>
      <c r="B7" s="5">
        <v>42095</v>
      </c>
      <c r="C7" s="6">
        <v>1182.4000000000001</v>
      </c>
      <c r="D7" s="6"/>
      <c r="E7" s="6"/>
      <c r="F7" s="2">
        <v>2.8860000000000001</v>
      </c>
      <c r="G7" s="3">
        <v>16.123999999999999</v>
      </c>
      <c r="H7" s="8">
        <v>2340</v>
      </c>
      <c r="I7" s="11">
        <v>2111.5</v>
      </c>
      <c r="J7" s="13"/>
      <c r="K7" t="s">
        <v>24</v>
      </c>
      <c r="L7">
        <v>1610</v>
      </c>
      <c r="M7" s="15">
        <v>43132</v>
      </c>
      <c r="O7" t="s">
        <v>10</v>
      </c>
      <c r="P7">
        <v>1260</v>
      </c>
      <c r="Q7" s="15">
        <v>43525</v>
      </c>
      <c r="S7" t="s">
        <v>29</v>
      </c>
      <c r="T7">
        <v>909.99999999999989</v>
      </c>
      <c r="U7" s="15">
        <v>43160</v>
      </c>
    </row>
    <row r="8" spans="1:25" x14ac:dyDescent="0.3">
      <c r="A8">
        <v>5</v>
      </c>
      <c r="B8" s="5">
        <v>42125</v>
      </c>
      <c r="C8" s="6">
        <v>1189.4000000000001</v>
      </c>
      <c r="D8" s="6"/>
      <c r="E8" s="6"/>
      <c r="F8" s="2">
        <v>2.76</v>
      </c>
      <c r="G8" s="3">
        <v>16.684000000000001</v>
      </c>
      <c r="H8" s="8">
        <v>2184.5</v>
      </c>
      <c r="I8" s="11">
        <v>1948</v>
      </c>
      <c r="J8" s="13"/>
      <c r="K8" t="s">
        <v>27</v>
      </c>
      <c r="L8">
        <v>1330</v>
      </c>
      <c r="M8" s="15">
        <v>43466</v>
      </c>
      <c r="O8" t="s">
        <v>28</v>
      </c>
      <c r="P8">
        <v>1407</v>
      </c>
      <c r="Q8" s="15">
        <v>43009</v>
      </c>
      <c r="S8" t="s">
        <v>11</v>
      </c>
      <c r="T8">
        <v>1470</v>
      </c>
      <c r="U8" s="15">
        <v>43952</v>
      </c>
    </row>
    <row r="9" spans="1:25" x14ac:dyDescent="0.3">
      <c r="A9">
        <v>6</v>
      </c>
      <c r="B9" s="5">
        <v>42156</v>
      </c>
      <c r="C9" s="6">
        <v>1171.5</v>
      </c>
      <c r="D9" s="6"/>
      <c r="E9" s="6"/>
      <c r="F9" s="2">
        <v>2.6230000000000002</v>
      </c>
      <c r="G9" s="3">
        <v>15.551</v>
      </c>
      <c r="H9" s="8">
        <v>1999</v>
      </c>
      <c r="I9" s="11">
        <v>1760.5</v>
      </c>
      <c r="J9" s="13"/>
      <c r="K9" t="s">
        <v>12</v>
      </c>
      <c r="L9">
        <v>1365</v>
      </c>
      <c r="M9" s="15">
        <v>43497</v>
      </c>
      <c r="O9" t="s">
        <v>13</v>
      </c>
      <c r="P9">
        <v>1050</v>
      </c>
      <c r="Q9" s="15">
        <v>43040</v>
      </c>
      <c r="S9" t="s">
        <v>14</v>
      </c>
      <c r="T9">
        <v>1400</v>
      </c>
      <c r="U9" s="15">
        <v>42675</v>
      </c>
    </row>
    <row r="10" spans="1:25" x14ac:dyDescent="0.3">
      <c r="A10">
        <v>7</v>
      </c>
      <c r="B10" s="5">
        <v>42186</v>
      </c>
      <c r="C10" s="6">
        <v>1094.9000000000001</v>
      </c>
      <c r="D10" s="6"/>
      <c r="E10" s="6"/>
      <c r="F10" s="2">
        <v>2.3679999999999999</v>
      </c>
      <c r="G10" s="3">
        <v>14.746</v>
      </c>
      <c r="H10" s="8">
        <v>1916</v>
      </c>
      <c r="I10" s="11">
        <v>1697.5</v>
      </c>
      <c r="J10" s="13"/>
      <c r="K10" t="s">
        <v>15</v>
      </c>
      <c r="L10">
        <v>1750</v>
      </c>
      <c r="M10" s="15">
        <v>42795</v>
      </c>
      <c r="O10" t="s">
        <v>16</v>
      </c>
      <c r="P10">
        <v>1330</v>
      </c>
      <c r="Q10" s="15">
        <v>43556</v>
      </c>
      <c r="S10" t="s">
        <v>17</v>
      </c>
      <c r="T10">
        <v>1190</v>
      </c>
      <c r="U10" s="15">
        <v>43313</v>
      </c>
    </row>
    <row r="11" spans="1:25" x14ac:dyDescent="0.3">
      <c r="A11">
        <v>8</v>
      </c>
      <c r="B11" s="5">
        <v>42217</v>
      </c>
      <c r="C11" s="6">
        <v>1131.5999999999999</v>
      </c>
      <c r="D11" s="6"/>
      <c r="E11" s="6"/>
      <c r="F11" s="2">
        <v>2.3380000000000001</v>
      </c>
      <c r="G11" s="3">
        <v>14.577</v>
      </c>
      <c r="H11" s="8">
        <v>1811</v>
      </c>
      <c r="I11" s="11">
        <v>1730</v>
      </c>
      <c r="J11" s="13"/>
      <c r="K11" s="12"/>
      <c r="L11" s="12"/>
      <c r="M11" s="12"/>
    </row>
    <row r="12" spans="1:25" x14ac:dyDescent="0.3">
      <c r="A12">
        <v>9</v>
      </c>
      <c r="B12" s="5">
        <v>42248</v>
      </c>
      <c r="C12" s="6">
        <v>1115.5</v>
      </c>
      <c r="D12" s="6"/>
      <c r="E12" s="6"/>
      <c r="F12" s="2">
        <v>2.3450000000000002</v>
      </c>
      <c r="G12" s="3">
        <v>14.513</v>
      </c>
      <c r="H12" s="8">
        <v>1685.5</v>
      </c>
      <c r="I12" s="11">
        <v>1671</v>
      </c>
      <c r="J12" s="13"/>
      <c r="K12" s="13"/>
      <c r="L12" s="13"/>
      <c r="M12" s="13"/>
    </row>
    <row r="13" spans="1:25" x14ac:dyDescent="0.3">
      <c r="A13">
        <v>10</v>
      </c>
      <c r="B13" s="5">
        <v>42278</v>
      </c>
      <c r="C13" s="6">
        <v>1141.5</v>
      </c>
      <c r="D13" s="6"/>
      <c r="E13" s="6"/>
      <c r="F13" s="2">
        <v>2.3130000000000002</v>
      </c>
      <c r="G13" s="3">
        <v>15.566000000000001</v>
      </c>
      <c r="H13" s="8">
        <v>1709</v>
      </c>
      <c r="I13" s="11">
        <v>1699</v>
      </c>
      <c r="K13" s="13"/>
      <c r="L13" s="13"/>
      <c r="M13" s="13"/>
      <c r="O13" t="s">
        <v>37</v>
      </c>
      <c r="P13" s="16" t="str">
        <f>K43</f>
        <v>Project Rolling mean +1sd</v>
      </c>
      <c r="Q13" s="16" t="str">
        <f>K44</f>
        <v>Project Rolling mean +2sd</v>
      </c>
      <c r="R13" s="16" t="str">
        <f>K45</f>
        <v>Project Rolling mean -1sd</v>
      </c>
      <c r="S13" s="16" t="str">
        <f>K46</f>
        <v>Project Rolling mean -2sd</v>
      </c>
    </row>
    <row r="14" spans="1:25" x14ac:dyDescent="0.3">
      <c r="A14">
        <v>11</v>
      </c>
      <c r="B14" s="5">
        <v>42309</v>
      </c>
      <c r="C14" s="6">
        <v>1065.8</v>
      </c>
      <c r="D14" s="6"/>
      <c r="E14" s="6"/>
      <c r="F14" s="2">
        <v>2.0449999999999999</v>
      </c>
      <c r="G14" s="3">
        <v>14.05</v>
      </c>
      <c r="H14" s="8">
        <v>1557.5</v>
      </c>
      <c r="I14" s="11">
        <v>1643</v>
      </c>
      <c r="J14" s="13"/>
      <c r="K14" s="13" t="s">
        <v>14</v>
      </c>
      <c r="L14" s="13">
        <v>1400</v>
      </c>
      <c r="M14" s="15">
        <v>42675</v>
      </c>
      <c r="N14">
        <f t="shared" ref="N14:N23" si="0">VLOOKUP(M14,$B$4:$E$69,4)</f>
        <v>0</v>
      </c>
    </row>
    <row r="15" spans="1:25" x14ac:dyDescent="0.3">
      <c r="A15">
        <v>12</v>
      </c>
      <c r="B15" s="5">
        <v>42339</v>
      </c>
      <c r="C15" s="6">
        <v>1060.3</v>
      </c>
      <c r="D15" s="6"/>
      <c r="E15" s="6"/>
      <c r="F15" s="2">
        <v>2.1259999999999999</v>
      </c>
      <c r="G15" s="3">
        <v>13.775</v>
      </c>
      <c r="H15" s="8">
        <v>1607</v>
      </c>
      <c r="I15" s="11">
        <v>1782</v>
      </c>
      <c r="J15" s="13"/>
      <c r="K15" s="13" t="s">
        <v>15</v>
      </c>
      <c r="L15" s="13">
        <v>1750</v>
      </c>
      <c r="M15" s="15">
        <v>42795</v>
      </c>
      <c r="N15">
        <f t="shared" si="0"/>
        <v>0</v>
      </c>
    </row>
    <row r="16" spans="1:25" x14ac:dyDescent="0.3">
      <c r="A16">
        <v>13</v>
      </c>
      <c r="B16" s="5">
        <v>42370</v>
      </c>
      <c r="C16" s="6">
        <v>1116.4000000000001</v>
      </c>
      <c r="D16" s="6"/>
      <c r="E16" s="6"/>
      <c r="F16" s="2">
        <v>2.0640000000000001</v>
      </c>
      <c r="G16" s="3">
        <v>14.228999999999999</v>
      </c>
      <c r="H16" s="8">
        <v>1616</v>
      </c>
      <c r="I16" s="11">
        <v>1714</v>
      </c>
      <c r="J16" s="13"/>
      <c r="K16" s="13" t="s">
        <v>20</v>
      </c>
      <c r="L16" s="13">
        <v>1470</v>
      </c>
      <c r="M16" s="15">
        <v>42826</v>
      </c>
      <c r="N16">
        <f t="shared" si="0"/>
        <v>0</v>
      </c>
      <c r="O16" s="13">
        <f t="shared" ref="O16" si="1">AVERAGE(L14:L16)</f>
        <v>1540</v>
      </c>
      <c r="P16">
        <f>O16*1.15</f>
        <v>1770.9999999999998</v>
      </c>
      <c r="Q16">
        <f>O16*1.25</f>
        <v>1925</v>
      </c>
      <c r="R16">
        <f>O16/1.25</f>
        <v>1232</v>
      </c>
      <c r="S16">
        <f>O16/1.5</f>
        <v>1026.6666666666667</v>
      </c>
    </row>
    <row r="17" spans="1:19" x14ac:dyDescent="0.3">
      <c r="A17">
        <v>14</v>
      </c>
      <c r="B17" s="5">
        <v>42401</v>
      </c>
      <c r="C17" s="6">
        <v>1233.9000000000001</v>
      </c>
      <c r="D17" s="6"/>
      <c r="E17" s="6"/>
      <c r="F17" s="2">
        <v>2.1280000000000001</v>
      </c>
      <c r="G17" s="3">
        <v>14.896000000000001</v>
      </c>
      <c r="H17" s="8">
        <v>1765</v>
      </c>
      <c r="I17" s="11">
        <v>1758</v>
      </c>
      <c r="J17" s="13"/>
      <c r="K17" s="13" t="s">
        <v>28</v>
      </c>
      <c r="L17" s="13">
        <v>1407</v>
      </c>
      <c r="M17" s="15">
        <v>43009</v>
      </c>
      <c r="N17">
        <f t="shared" si="0"/>
        <v>0</v>
      </c>
      <c r="O17" s="13">
        <f t="shared" ref="O17:O33" si="2">AVERAGE(L14:L17)</f>
        <v>1506.75</v>
      </c>
      <c r="P17">
        <f t="shared" ref="P17:P34" si="3">O17*1.15</f>
        <v>1732.7624999999998</v>
      </c>
      <c r="Q17">
        <f t="shared" ref="Q17:Q34" si="4">O17*1.25</f>
        <v>1883.4375</v>
      </c>
      <c r="R17">
        <f t="shared" ref="R17:R34" si="5">O17/1.25</f>
        <v>1205.4000000000001</v>
      </c>
      <c r="S17">
        <f t="shared" ref="S17:S34" si="6">O17/1.5</f>
        <v>1004.5</v>
      </c>
    </row>
    <row r="18" spans="1:19" x14ac:dyDescent="0.3">
      <c r="A18">
        <v>15</v>
      </c>
      <c r="B18" s="5">
        <v>42430</v>
      </c>
      <c r="C18" s="6">
        <v>1234.2</v>
      </c>
      <c r="D18" s="6"/>
      <c r="E18" s="6"/>
      <c r="F18" s="2">
        <v>2.1819999999999999</v>
      </c>
      <c r="G18" s="3">
        <v>15.46</v>
      </c>
      <c r="H18" s="8">
        <v>1817.5</v>
      </c>
      <c r="I18" s="11">
        <v>1712.5</v>
      </c>
      <c r="J18" s="13"/>
      <c r="K18" s="13" t="s">
        <v>13</v>
      </c>
      <c r="L18" s="13">
        <v>1050</v>
      </c>
      <c r="M18" s="15">
        <v>43040</v>
      </c>
      <c r="N18">
        <f t="shared" si="0"/>
        <v>0</v>
      </c>
      <c r="O18" s="13">
        <f t="shared" si="2"/>
        <v>1419.25</v>
      </c>
      <c r="P18">
        <f t="shared" si="3"/>
        <v>1632.1374999999998</v>
      </c>
      <c r="Q18">
        <f t="shared" si="4"/>
        <v>1774.0625</v>
      </c>
      <c r="R18">
        <f t="shared" si="5"/>
        <v>1135.4000000000001</v>
      </c>
      <c r="S18">
        <f t="shared" si="6"/>
        <v>946.16666666666663</v>
      </c>
    </row>
    <row r="19" spans="1:19" x14ac:dyDescent="0.3">
      <c r="A19">
        <v>16</v>
      </c>
      <c r="B19" s="5">
        <v>42461</v>
      </c>
      <c r="C19" s="6">
        <v>1289.2</v>
      </c>
      <c r="D19" s="6"/>
      <c r="E19" s="6"/>
      <c r="F19" s="2">
        <v>2.2789999999999999</v>
      </c>
      <c r="G19" s="3">
        <v>17.789000000000001</v>
      </c>
      <c r="H19" s="8">
        <v>1937</v>
      </c>
      <c r="I19" s="11">
        <v>1797</v>
      </c>
      <c r="J19" s="13"/>
      <c r="K19" s="13" t="s">
        <v>26</v>
      </c>
      <c r="L19" s="13">
        <v>1470</v>
      </c>
      <c r="M19" s="15">
        <v>43040</v>
      </c>
      <c r="N19">
        <f t="shared" si="0"/>
        <v>0</v>
      </c>
      <c r="O19" s="13">
        <f t="shared" si="2"/>
        <v>1349.25</v>
      </c>
      <c r="P19">
        <f t="shared" si="3"/>
        <v>1551.6374999999998</v>
      </c>
      <c r="Q19">
        <f t="shared" si="4"/>
        <v>1686.5625</v>
      </c>
      <c r="R19">
        <f t="shared" si="5"/>
        <v>1079.4000000000001</v>
      </c>
      <c r="S19">
        <f t="shared" si="6"/>
        <v>899.5</v>
      </c>
    </row>
    <row r="20" spans="1:19" x14ac:dyDescent="0.3">
      <c r="A20">
        <v>17</v>
      </c>
      <c r="B20" s="5">
        <v>42491</v>
      </c>
      <c r="C20" s="6">
        <v>1214.8</v>
      </c>
      <c r="D20" s="6"/>
      <c r="E20" s="6"/>
      <c r="F20" s="2">
        <v>2.0979999999999999</v>
      </c>
      <c r="G20" s="3">
        <v>15.972</v>
      </c>
      <c r="H20" s="8">
        <v>1926</v>
      </c>
      <c r="I20" s="11">
        <v>1692.5</v>
      </c>
      <c r="J20" s="13"/>
      <c r="K20" s="13" t="s">
        <v>24</v>
      </c>
      <c r="L20" s="13">
        <v>1610</v>
      </c>
      <c r="M20" s="15">
        <v>43132</v>
      </c>
      <c r="N20">
        <f t="shared" si="0"/>
        <v>1226.583333333333</v>
      </c>
      <c r="O20" s="13">
        <f t="shared" si="2"/>
        <v>1384.25</v>
      </c>
      <c r="P20">
        <f t="shared" si="3"/>
        <v>1591.8874999999998</v>
      </c>
      <c r="Q20">
        <f t="shared" si="4"/>
        <v>1730.3125</v>
      </c>
      <c r="R20">
        <f t="shared" si="5"/>
        <v>1107.4000000000001</v>
      </c>
      <c r="S20">
        <f t="shared" si="6"/>
        <v>922.83333333333337</v>
      </c>
    </row>
    <row r="21" spans="1:19" x14ac:dyDescent="0.3">
      <c r="A21">
        <v>18</v>
      </c>
      <c r="B21" s="5">
        <v>42522</v>
      </c>
      <c r="C21" s="6">
        <v>1318.4</v>
      </c>
      <c r="D21" s="6"/>
      <c r="E21" s="6"/>
      <c r="F21" s="2">
        <v>2.1949999999999998</v>
      </c>
      <c r="G21" s="3">
        <v>18.582000000000001</v>
      </c>
      <c r="H21" s="8">
        <v>2106</v>
      </c>
      <c r="I21" s="11">
        <v>1781.5</v>
      </c>
      <c r="J21" s="13"/>
      <c r="K21" s="13" t="s">
        <v>22</v>
      </c>
      <c r="L21" s="13">
        <v>1407</v>
      </c>
      <c r="M21" s="15">
        <v>43160</v>
      </c>
      <c r="N21">
        <f t="shared" si="0"/>
        <v>1230.4638888888887</v>
      </c>
      <c r="O21" s="13">
        <f t="shared" si="2"/>
        <v>1384.25</v>
      </c>
      <c r="P21">
        <f t="shared" si="3"/>
        <v>1591.8874999999998</v>
      </c>
      <c r="Q21">
        <f t="shared" si="4"/>
        <v>1730.3125</v>
      </c>
      <c r="R21">
        <f t="shared" si="5"/>
        <v>1107.4000000000001</v>
      </c>
      <c r="S21">
        <f t="shared" si="6"/>
        <v>922.83333333333337</v>
      </c>
    </row>
    <row r="22" spans="1:19" x14ac:dyDescent="0.3">
      <c r="A22">
        <v>19</v>
      </c>
      <c r="B22" s="5">
        <v>42552</v>
      </c>
      <c r="C22" s="6">
        <v>1349</v>
      </c>
      <c r="D22" s="6"/>
      <c r="E22" s="6"/>
      <c r="F22" s="2">
        <v>2.2200000000000002</v>
      </c>
      <c r="G22" s="3">
        <v>20.312000000000001</v>
      </c>
      <c r="H22" s="8">
        <v>2246</v>
      </c>
      <c r="I22" s="11">
        <v>1826.75</v>
      </c>
      <c r="J22" s="13"/>
      <c r="K22" s="13" t="s">
        <v>29</v>
      </c>
      <c r="L22" s="13">
        <v>909.99999999999989</v>
      </c>
      <c r="M22" s="15">
        <v>43160</v>
      </c>
      <c r="N22">
        <f t="shared" si="0"/>
        <v>1230.4638888888887</v>
      </c>
      <c r="O22" s="13">
        <f t="shared" si="2"/>
        <v>1349.25</v>
      </c>
      <c r="P22">
        <f t="shared" si="3"/>
        <v>1551.6374999999998</v>
      </c>
      <c r="Q22">
        <f t="shared" si="4"/>
        <v>1686.5625</v>
      </c>
      <c r="R22">
        <f t="shared" si="5"/>
        <v>1079.4000000000001</v>
      </c>
      <c r="S22">
        <f t="shared" si="6"/>
        <v>899.5</v>
      </c>
    </row>
    <row r="23" spans="1:19" x14ac:dyDescent="0.3">
      <c r="A23">
        <v>20</v>
      </c>
      <c r="B23" s="5">
        <v>42583</v>
      </c>
      <c r="C23" s="6">
        <v>1306.9000000000001</v>
      </c>
      <c r="D23" s="6"/>
      <c r="E23" s="6"/>
      <c r="F23" s="2">
        <v>2.0699999999999998</v>
      </c>
      <c r="G23" s="3">
        <v>18.622</v>
      </c>
      <c r="H23" s="8">
        <v>2314</v>
      </c>
      <c r="I23" s="11">
        <v>1903.75</v>
      </c>
      <c r="J23" s="13"/>
      <c r="K23" s="13" t="s">
        <v>19</v>
      </c>
      <c r="L23" s="13">
        <v>1400</v>
      </c>
      <c r="M23" s="15">
        <v>43282</v>
      </c>
      <c r="N23">
        <f t="shared" si="0"/>
        <v>1223.7</v>
      </c>
      <c r="O23" s="13">
        <f t="shared" si="2"/>
        <v>1331.75</v>
      </c>
      <c r="P23">
        <f t="shared" si="3"/>
        <v>1531.5124999999998</v>
      </c>
      <c r="Q23">
        <f t="shared" si="4"/>
        <v>1664.6875</v>
      </c>
      <c r="R23">
        <f t="shared" si="5"/>
        <v>1065.4000000000001</v>
      </c>
      <c r="S23">
        <f t="shared" si="6"/>
        <v>887.83333333333337</v>
      </c>
    </row>
    <row r="24" spans="1:19" x14ac:dyDescent="0.3">
      <c r="A24">
        <v>21</v>
      </c>
      <c r="B24" s="5">
        <v>42614</v>
      </c>
      <c r="C24" s="6">
        <v>1313.3</v>
      </c>
      <c r="D24" s="6"/>
      <c r="E24" s="6"/>
      <c r="F24" s="2">
        <v>2.202</v>
      </c>
      <c r="G24" s="3">
        <v>19.138999999999999</v>
      </c>
      <c r="H24" s="8">
        <v>2377</v>
      </c>
      <c r="I24" s="11">
        <v>2131.25</v>
      </c>
      <c r="J24" s="13"/>
      <c r="K24" s="13" t="s">
        <v>25</v>
      </c>
      <c r="L24" s="13">
        <v>1400</v>
      </c>
      <c r="M24" s="15">
        <v>43282</v>
      </c>
      <c r="N24">
        <f>VLOOKUP(M24,$B$4:$E$69,4)</f>
        <v>1223.7</v>
      </c>
      <c r="O24" s="13">
        <f t="shared" si="2"/>
        <v>1279.25</v>
      </c>
      <c r="P24">
        <f t="shared" si="3"/>
        <v>1471.1374999999998</v>
      </c>
      <c r="Q24">
        <f t="shared" si="4"/>
        <v>1599.0625</v>
      </c>
      <c r="R24">
        <f t="shared" si="5"/>
        <v>1023.4</v>
      </c>
      <c r="S24">
        <f t="shared" si="6"/>
        <v>852.83333333333337</v>
      </c>
    </row>
    <row r="25" spans="1:19" x14ac:dyDescent="0.3">
      <c r="A25">
        <v>22</v>
      </c>
      <c r="B25" s="5">
        <v>42644</v>
      </c>
      <c r="C25" s="6">
        <v>1271.5</v>
      </c>
      <c r="D25" s="6"/>
      <c r="E25" s="6"/>
      <c r="F25" s="2">
        <v>2.2000000000000002</v>
      </c>
      <c r="G25" s="3">
        <v>17.762</v>
      </c>
      <c r="H25" s="8">
        <v>2464.5</v>
      </c>
      <c r="I25" s="11">
        <v>2061.75</v>
      </c>
      <c r="J25" s="13"/>
      <c r="K25" s="13" t="s">
        <v>17</v>
      </c>
      <c r="L25" s="13">
        <v>1190</v>
      </c>
      <c r="M25" s="15">
        <v>43313</v>
      </c>
      <c r="N25">
        <f t="shared" ref="N25:N33" si="7">VLOOKUP(M25,$B$4:$E$69,4)</f>
        <v>1200.3</v>
      </c>
      <c r="O25" s="13">
        <f t="shared" si="2"/>
        <v>1225</v>
      </c>
      <c r="P25">
        <f t="shared" si="3"/>
        <v>1408.75</v>
      </c>
      <c r="Q25">
        <f t="shared" si="4"/>
        <v>1531.25</v>
      </c>
      <c r="R25">
        <f t="shared" si="5"/>
        <v>980</v>
      </c>
      <c r="S25">
        <f t="shared" si="6"/>
        <v>816.66666666666663</v>
      </c>
    </row>
    <row r="26" spans="1:19" x14ac:dyDescent="0.3">
      <c r="A26">
        <v>23</v>
      </c>
      <c r="B26" s="5">
        <v>42675</v>
      </c>
      <c r="C26" s="6">
        <v>1170.8</v>
      </c>
      <c r="D26" s="6"/>
      <c r="E26" s="6"/>
      <c r="F26" s="2">
        <v>2.6219999999999999</v>
      </c>
      <c r="G26" s="3">
        <v>16.405999999999999</v>
      </c>
      <c r="H26" s="8">
        <v>2699.5</v>
      </c>
      <c r="I26" s="11">
        <v>2342.5</v>
      </c>
      <c r="J26" s="13"/>
      <c r="K26" s="13" t="s">
        <v>21</v>
      </c>
      <c r="L26" s="13">
        <v>1330</v>
      </c>
      <c r="M26" s="15">
        <v>43405</v>
      </c>
      <c r="N26">
        <f t="shared" si="7"/>
        <v>1220.2</v>
      </c>
      <c r="O26" s="13">
        <f t="shared" si="2"/>
        <v>1330</v>
      </c>
      <c r="P26">
        <f t="shared" si="3"/>
        <v>1529.4999999999998</v>
      </c>
      <c r="Q26">
        <f t="shared" si="4"/>
        <v>1662.5</v>
      </c>
      <c r="R26">
        <f t="shared" si="5"/>
        <v>1064</v>
      </c>
      <c r="S26">
        <f t="shared" si="6"/>
        <v>886.66666666666663</v>
      </c>
    </row>
    <row r="27" spans="1:19" x14ac:dyDescent="0.3">
      <c r="A27">
        <v>24</v>
      </c>
      <c r="B27" s="5">
        <v>42705</v>
      </c>
      <c r="C27" s="6">
        <v>1150</v>
      </c>
      <c r="D27" s="6"/>
      <c r="E27" s="6"/>
      <c r="F27" s="2">
        <v>2.4980000000000002</v>
      </c>
      <c r="G27" s="3">
        <v>15.936</v>
      </c>
      <c r="H27" s="8">
        <v>2567</v>
      </c>
      <c r="I27" s="11">
        <v>2008.75</v>
      </c>
      <c r="J27" s="13"/>
      <c r="K27" s="13" t="s">
        <v>27</v>
      </c>
      <c r="L27" s="13">
        <v>1330</v>
      </c>
      <c r="M27" s="15">
        <v>43466</v>
      </c>
      <c r="N27">
        <f t="shared" si="7"/>
        <v>1265.0277777777778</v>
      </c>
      <c r="O27" s="13">
        <f t="shared" si="2"/>
        <v>1312.5</v>
      </c>
      <c r="P27">
        <f t="shared" si="3"/>
        <v>1509.3749999999998</v>
      </c>
      <c r="Q27">
        <f t="shared" si="4"/>
        <v>1640.625</v>
      </c>
      <c r="R27">
        <f t="shared" si="5"/>
        <v>1050</v>
      </c>
      <c r="S27">
        <f t="shared" si="6"/>
        <v>875</v>
      </c>
    </row>
    <row r="28" spans="1:19" x14ac:dyDescent="0.3">
      <c r="A28">
        <v>25</v>
      </c>
      <c r="B28" s="5">
        <v>42736</v>
      </c>
      <c r="C28" s="6">
        <v>1208.5999999999999</v>
      </c>
      <c r="D28" s="6"/>
      <c r="E28" s="6"/>
      <c r="F28" s="2">
        <v>2.7210000000000001</v>
      </c>
      <c r="G28" s="3">
        <v>17.512</v>
      </c>
      <c r="H28" s="8">
        <v>2867</v>
      </c>
      <c r="I28" s="11">
        <v>2363.75</v>
      </c>
      <c r="J28" s="13"/>
      <c r="K28" s="13" t="s">
        <v>12</v>
      </c>
      <c r="L28" s="13">
        <v>1365</v>
      </c>
      <c r="M28" s="15">
        <v>43497</v>
      </c>
      <c r="N28">
        <f t="shared" si="7"/>
        <v>1267.2194444444444</v>
      </c>
      <c r="O28" s="13">
        <f t="shared" si="2"/>
        <v>1303.75</v>
      </c>
      <c r="P28">
        <f t="shared" si="3"/>
        <v>1499.3124999999998</v>
      </c>
      <c r="Q28">
        <f t="shared" si="4"/>
        <v>1629.6875</v>
      </c>
      <c r="R28">
        <f t="shared" si="5"/>
        <v>1043</v>
      </c>
      <c r="S28">
        <f t="shared" si="6"/>
        <v>869.16666666666663</v>
      </c>
    </row>
    <row r="29" spans="1:19" x14ac:dyDescent="0.3">
      <c r="A29">
        <v>26</v>
      </c>
      <c r="B29" s="5">
        <v>42767</v>
      </c>
      <c r="C29" s="6">
        <v>1252.5999999999999</v>
      </c>
      <c r="D29" s="6"/>
      <c r="E29" s="6"/>
      <c r="F29" s="2">
        <v>2.7040000000000002</v>
      </c>
      <c r="G29" s="3">
        <v>18.420000000000002</v>
      </c>
      <c r="H29" s="8">
        <v>2821</v>
      </c>
      <c r="I29" s="11">
        <v>2250.75</v>
      </c>
      <c r="J29" s="13"/>
      <c r="K29" s="13" t="s">
        <v>10</v>
      </c>
      <c r="L29" s="13">
        <v>1260</v>
      </c>
      <c r="M29" s="15">
        <v>43525</v>
      </c>
      <c r="N29">
        <f t="shared" si="7"/>
        <v>1268.8527777777779</v>
      </c>
      <c r="O29" s="13">
        <f t="shared" si="2"/>
        <v>1321.25</v>
      </c>
      <c r="P29">
        <f t="shared" si="3"/>
        <v>1519.4374999999998</v>
      </c>
      <c r="Q29">
        <f t="shared" si="4"/>
        <v>1651.5625</v>
      </c>
      <c r="R29">
        <f t="shared" si="5"/>
        <v>1057</v>
      </c>
      <c r="S29">
        <f t="shared" si="6"/>
        <v>880.83333333333337</v>
      </c>
    </row>
    <row r="30" spans="1:19" x14ac:dyDescent="0.3">
      <c r="A30">
        <v>27</v>
      </c>
      <c r="B30" s="5">
        <v>42795</v>
      </c>
      <c r="C30" s="6">
        <v>1247.3</v>
      </c>
      <c r="D30" s="6"/>
      <c r="E30" s="6"/>
      <c r="F30" s="2">
        <v>2.6469999999999998</v>
      </c>
      <c r="G30" s="3">
        <v>18.234999999999999</v>
      </c>
      <c r="H30" s="8">
        <v>2768</v>
      </c>
      <c r="I30" s="11">
        <v>2331.5</v>
      </c>
      <c r="J30" s="13"/>
      <c r="K30" s="13" t="s">
        <v>16</v>
      </c>
      <c r="L30" s="13">
        <v>1330</v>
      </c>
      <c r="M30" s="15">
        <v>43556</v>
      </c>
      <c r="N30">
        <f t="shared" si="7"/>
        <v>1268.6750000000002</v>
      </c>
      <c r="O30" s="13">
        <f t="shared" si="2"/>
        <v>1321.25</v>
      </c>
      <c r="P30">
        <f t="shared" si="3"/>
        <v>1519.4374999999998</v>
      </c>
      <c r="Q30">
        <f t="shared" si="4"/>
        <v>1651.5625</v>
      </c>
      <c r="R30">
        <f t="shared" si="5"/>
        <v>1057</v>
      </c>
      <c r="S30">
        <f t="shared" si="6"/>
        <v>880.83333333333337</v>
      </c>
    </row>
    <row r="31" spans="1:19" x14ac:dyDescent="0.3">
      <c r="A31">
        <v>28</v>
      </c>
      <c r="B31" s="5">
        <v>42826</v>
      </c>
      <c r="C31" s="6">
        <v>1266.0999999999999</v>
      </c>
      <c r="D31" s="6"/>
      <c r="E31" s="6"/>
      <c r="F31" s="2">
        <v>2.5960000000000001</v>
      </c>
      <c r="G31" s="3">
        <v>17.190999999999999</v>
      </c>
      <c r="H31" s="8">
        <v>2623.5</v>
      </c>
      <c r="I31" s="11">
        <v>2251.25</v>
      </c>
      <c r="J31" s="13"/>
      <c r="K31" s="13" t="s">
        <v>23</v>
      </c>
      <c r="L31" s="13">
        <v>1190</v>
      </c>
      <c r="M31" s="15">
        <v>43586</v>
      </c>
      <c r="N31">
        <f t="shared" si="7"/>
        <v>1271.202777777778</v>
      </c>
      <c r="O31" s="13">
        <f t="shared" si="2"/>
        <v>1286.25</v>
      </c>
      <c r="P31">
        <f t="shared" si="3"/>
        <v>1479.1874999999998</v>
      </c>
      <c r="Q31">
        <f t="shared" si="4"/>
        <v>1607.8125</v>
      </c>
      <c r="R31">
        <f t="shared" si="5"/>
        <v>1029</v>
      </c>
      <c r="S31">
        <f t="shared" si="6"/>
        <v>857.5</v>
      </c>
    </row>
    <row r="32" spans="1:19" x14ac:dyDescent="0.3">
      <c r="A32">
        <v>29</v>
      </c>
      <c r="B32" s="5">
        <v>42856</v>
      </c>
      <c r="C32" s="6">
        <v>1272</v>
      </c>
      <c r="D32" s="6"/>
      <c r="E32" s="6"/>
      <c r="F32" s="2">
        <v>2.577</v>
      </c>
      <c r="G32" s="3">
        <v>17.367999999999999</v>
      </c>
      <c r="H32" s="8">
        <v>2600</v>
      </c>
      <c r="I32" s="11">
        <v>2115.75</v>
      </c>
      <c r="J32" s="13"/>
      <c r="K32" s="13" t="s">
        <v>18</v>
      </c>
      <c r="L32" s="13">
        <v>1610</v>
      </c>
      <c r="M32" s="15">
        <v>43739</v>
      </c>
      <c r="N32">
        <f t="shared" si="7"/>
        <v>1292.6722222222222</v>
      </c>
      <c r="O32" s="13">
        <f t="shared" si="2"/>
        <v>1347.5</v>
      </c>
      <c r="P32">
        <f t="shared" si="3"/>
        <v>1549.6249999999998</v>
      </c>
      <c r="Q32">
        <f t="shared" si="4"/>
        <v>1684.375</v>
      </c>
      <c r="R32">
        <f t="shared" si="5"/>
        <v>1078</v>
      </c>
      <c r="S32">
        <f t="shared" si="6"/>
        <v>898.33333333333337</v>
      </c>
    </row>
    <row r="33" spans="1:19" x14ac:dyDescent="0.3">
      <c r="A33">
        <v>30</v>
      </c>
      <c r="B33" s="5">
        <v>42887</v>
      </c>
      <c r="C33" s="6">
        <v>1240.7</v>
      </c>
      <c r="D33" s="6"/>
      <c r="E33" s="6"/>
      <c r="F33" s="2">
        <v>2.6989999999999998</v>
      </c>
      <c r="G33" s="3">
        <v>16.568000000000001</v>
      </c>
      <c r="H33" s="8">
        <v>2763</v>
      </c>
      <c r="I33" s="11">
        <v>2294</v>
      </c>
      <c r="J33" s="13"/>
      <c r="K33" s="13" t="s">
        <v>9</v>
      </c>
      <c r="L33" s="13">
        <v>1050</v>
      </c>
      <c r="M33" s="15">
        <v>43770</v>
      </c>
      <c r="N33">
        <f t="shared" si="7"/>
        <v>1300.8611111111111</v>
      </c>
      <c r="O33" s="13">
        <f t="shared" si="2"/>
        <v>1295</v>
      </c>
      <c r="P33">
        <f t="shared" si="3"/>
        <v>1489.2499999999998</v>
      </c>
      <c r="Q33">
        <f t="shared" si="4"/>
        <v>1618.75</v>
      </c>
      <c r="R33">
        <f t="shared" si="5"/>
        <v>1036</v>
      </c>
      <c r="S33">
        <f t="shared" si="6"/>
        <v>863.33333333333337</v>
      </c>
    </row>
    <row r="34" spans="1:19" x14ac:dyDescent="0.3">
      <c r="A34">
        <v>31</v>
      </c>
      <c r="B34" s="5">
        <v>42917</v>
      </c>
      <c r="C34" s="6">
        <v>1266.5999999999999</v>
      </c>
      <c r="D34" s="6"/>
      <c r="E34" s="6"/>
      <c r="F34" s="2">
        <v>2.8879999999999999</v>
      </c>
      <c r="G34" s="3">
        <v>16.75</v>
      </c>
      <c r="H34" s="8">
        <v>2798</v>
      </c>
      <c r="I34" s="11">
        <v>2330.5</v>
      </c>
      <c r="J34" s="13"/>
      <c r="K34" s="13" t="s">
        <v>11</v>
      </c>
      <c r="L34" s="13">
        <v>1470</v>
      </c>
      <c r="M34" s="15">
        <v>43952</v>
      </c>
      <c r="N34">
        <f>VLOOKUP(M34,$B$4:$E$69,4)</f>
        <v>1365.1805555555552</v>
      </c>
      <c r="O34" s="13">
        <f>AVERAGE(L31:L34)</f>
        <v>1330</v>
      </c>
      <c r="P34">
        <f t="shared" si="3"/>
        <v>1529.4999999999998</v>
      </c>
      <c r="Q34">
        <f t="shared" si="4"/>
        <v>1662.5</v>
      </c>
      <c r="R34">
        <f t="shared" si="5"/>
        <v>1064</v>
      </c>
      <c r="S34">
        <f t="shared" si="6"/>
        <v>886.66666666666663</v>
      </c>
    </row>
    <row r="35" spans="1:19" x14ac:dyDescent="0.3">
      <c r="A35">
        <v>32</v>
      </c>
      <c r="B35" s="5">
        <v>42948</v>
      </c>
      <c r="C35" s="6">
        <v>1316.2</v>
      </c>
      <c r="D35" s="6"/>
      <c r="E35" s="6"/>
      <c r="F35" s="2">
        <v>3.0790000000000002</v>
      </c>
      <c r="G35" s="3">
        <v>17.48</v>
      </c>
      <c r="H35" s="8">
        <v>3159.5</v>
      </c>
      <c r="I35" s="11">
        <v>2400.5</v>
      </c>
      <c r="J35" s="13"/>
      <c r="K35" s="13"/>
      <c r="L35" s="13"/>
      <c r="M35" s="13"/>
    </row>
    <row r="36" spans="1:19" x14ac:dyDescent="0.3">
      <c r="A36">
        <v>33</v>
      </c>
      <c r="B36" s="5">
        <v>42979</v>
      </c>
      <c r="C36" s="6">
        <v>1281.5</v>
      </c>
      <c r="D36" s="6"/>
      <c r="E36" s="6"/>
      <c r="F36" s="2">
        <v>2.9380000000000002</v>
      </c>
      <c r="G36" s="3">
        <v>16.606999999999999</v>
      </c>
      <c r="H36" s="8">
        <v>3166.5</v>
      </c>
      <c r="I36" s="11">
        <v>2489.25</v>
      </c>
      <c r="J36" s="13"/>
    </row>
    <row r="37" spans="1:19" x14ac:dyDescent="0.3">
      <c r="A37">
        <v>34</v>
      </c>
      <c r="B37" s="5">
        <v>43009</v>
      </c>
      <c r="C37" s="6">
        <v>1267</v>
      </c>
      <c r="D37" s="6"/>
      <c r="E37" s="6"/>
      <c r="F37" s="2">
        <v>3.0920000000000001</v>
      </c>
      <c r="G37" s="3">
        <v>16.645</v>
      </c>
      <c r="H37" s="8">
        <v>3261</v>
      </c>
      <c r="I37" s="11">
        <v>2422</v>
      </c>
      <c r="J37" s="13"/>
    </row>
    <row r="38" spans="1:19" x14ac:dyDescent="0.3">
      <c r="A38">
        <v>35</v>
      </c>
      <c r="B38" s="5">
        <v>43040</v>
      </c>
      <c r="C38" s="6">
        <v>1273.2</v>
      </c>
      <c r="D38" s="6"/>
      <c r="E38" s="6"/>
      <c r="F38" s="2">
        <v>3.0369999999999999</v>
      </c>
      <c r="G38" s="3">
        <v>16.382000000000001</v>
      </c>
      <c r="H38" s="8">
        <v>3155</v>
      </c>
      <c r="I38" s="11">
        <v>2472.25</v>
      </c>
      <c r="J38" s="13"/>
      <c r="K38" s="21" t="s">
        <v>43</v>
      </c>
      <c r="L38" s="22" t="s">
        <v>44</v>
      </c>
    </row>
    <row r="39" spans="1:19" x14ac:dyDescent="0.3">
      <c r="A39">
        <v>36</v>
      </c>
      <c r="B39" s="5">
        <v>43070</v>
      </c>
      <c r="C39" s="6">
        <v>1306.3</v>
      </c>
      <c r="D39" s="6"/>
      <c r="E39" s="6">
        <f t="shared" ref="E39:E68" si="8">MIN(AVERAGE(C4:C39),C39)</f>
        <v>1222.0444444444443</v>
      </c>
      <c r="F39" s="2">
        <v>3.28</v>
      </c>
      <c r="G39" s="3">
        <v>17.059999999999999</v>
      </c>
      <c r="H39" s="8">
        <v>3313</v>
      </c>
      <c r="I39" s="11">
        <v>2496</v>
      </c>
      <c r="J39" s="13"/>
      <c r="K39" s="17" t="s">
        <v>7</v>
      </c>
      <c r="L39" s="19">
        <f>C69</f>
        <v>1688.35</v>
      </c>
    </row>
    <row r="40" spans="1:19" x14ac:dyDescent="0.3">
      <c r="A40">
        <v>37</v>
      </c>
      <c r="B40" s="5">
        <v>43101</v>
      </c>
      <c r="C40" s="6">
        <v>1339</v>
      </c>
      <c r="D40" s="6"/>
      <c r="E40" s="6">
        <f t="shared" si="8"/>
        <v>1223.7249999999995</v>
      </c>
      <c r="F40" s="2">
        <v>3.1840000000000002</v>
      </c>
      <c r="G40" s="3">
        <v>17.204000000000001</v>
      </c>
      <c r="H40" s="8">
        <v>3528.5</v>
      </c>
      <c r="I40" s="11">
        <v>2616</v>
      </c>
      <c r="J40" s="13"/>
      <c r="K40" s="17" t="s">
        <v>31</v>
      </c>
      <c r="L40" s="19">
        <f>D69</f>
        <v>1310.9908333333333</v>
      </c>
    </row>
    <row r="41" spans="1:19" x14ac:dyDescent="0.3">
      <c r="A41">
        <v>38</v>
      </c>
      <c r="B41" s="5">
        <v>43132</v>
      </c>
      <c r="C41" s="6">
        <v>1315.5</v>
      </c>
      <c r="D41" s="6"/>
      <c r="E41" s="6">
        <f t="shared" si="8"/>
        <v>1226.583333333333</v>
      </c>
      <c r="F41" s="2">
        <v>3.1070000000000002</v>
      </c>
      <c r="G41" s="3">
        <v>16.324000000000002</v>
      </c>
      <c r="H41" s="8">
        <v>3453.5</v>
      </c>
      <c r="I41" s="11">
        <v>2502.25</v>
      </c>
      <c r="J41" s="13"/>
      <c r="K41" s="17" t="s">
        <v>30</v>
      </c>
      <c r="L41" s="19">
        <f>E69</f>
        <v>1377.6152777777772</v>
      </c>
    </row>
    <row r="42" spans="1:19" x14ac:dyDescent="0.3">
      <c r="A42">
        <v>39</v>
      </c>
      <c r="B42" s="5">
        <v>43160</v>
      </c>
      <c r="C42" s="6">
        <v>1322.8</v>
      </c>
      <c r="D42" s="6"/>
      <c r="E42" s="6">
        <f t="shared" si="8"/>
        <v>1230.4638888888887</v>
      </c>
      <c r="F42" s="2">
        <v>3.0190000000000001</v>
      </c>
      <c r="G42" s="3">
        <v>16.222999999999999</v>
      </c>
      <c r="H42" s="8">
        <v>3270</v>
      </c>
      <c r="I42" s="11">
        <v>2396.75</v>
      </c>
      <c r="J42" s="13"/>
      <c r="K42" s="17" t="s">
        <v>38</v>
      </c>
      <c r="L42" s="19">
        <f>N34</f>
        <v>1365.1805555555552</v>
      </c>
    </row>
    <row r="43" spans="1:19" x14ac:dyDescent="0.3">
      <c r="A43">
        <v>40</v>
      </c>
      <c r="B43" s="5">
        <v>43191</v>
      </c>
      <c r="C43" s="6">
        <v>1316.2</v>
      </c>
      <c r="D43" s="6"/>
      <c r="E43" s="6">
        <f t="shared" si="8"/>
        <v>1234.1805555555554</v>
      </c>
      <c r="F43" s="2">
        <v>3.0529999999999999</v>
      </c>
      <c r="G43" s="3">
        <v>16.312000000000001</v>
      </c>
      <c r="H43" s="8">
        <v>3120</v>
      </c>
      <c r="I43" s="11">
        <v>2312.75</v>
      </c>
      <c r="J43" s="13"/>
      <c r="K43" s="17" t="s">
        <v>39</v>
      </c>
      <c r="L43" s="19">
        <f>P34</f>
        <v>1529.4999999999998</v>
      </c>
    </row>
    <row r="44" spans="1:19" x14ac:dyDescent="0.3">
      <c r="A44">
        <v>41</v>
      </c>
      <c r="B44" s="5">
        <v>43221</v>
      </c>
      <c r="C44" s="6">
        <v>1300.0999999999999</v>
      </c>
      <c r="D44" s="6"/>
      <c r="E44" s="6">
        <f t="shared" si="8"/>
        <v>1237.2555555555552</v>
      </c>
      <c r="F44" s="2">
        <v>3.0579999999999998</v>
      </c>
      <c r="G44" s="3">
        <v>16.402000000000001</v>
      </c>
      <c r="H44" s="8">
        <v>3100</v>
      </c>
      <c r="I44" s="11">
        <v>2460.5</v>
      </c>
      <c r="J44" s="13"/>
      <c r="K44" s="17" t="s">
        <v>40</v>
      </c>
      <c r="L44" s="19">
        <f>Q34</f>
        <v>1662.5</v>
      </c>
    </row>
    <row r="45" spans="1:19" x14ac:dyDescent="0.3">
      <c r="A45">
        <v>42</v>
      </c>
      <c r="B45" s="5">
        <v>43252</v>
      </c>
      <c r="C45" s="6">
        <v>1251.3</v>
      </c>
      <c r="D45" s="6"/>
      <c r="E45" s="6">
        <f t="shared" si="8"/>
        <v>1239.4722222222219</v>
      </c>
      <c r="F45" s="2">
        <v>2.9510000000000001</v>
      </c>
      <c r="G45" s="3">
        <v>16.103999999999999</v>
      </c>
      <c r="H45" s="8">
        <v>2855</v>
      </c>
      <c r="I45" s="11">
        <v>2410.5</v>
      </c>
      <c r="J45" s="13"/>
      <c r="K45" s="17" t="s">
        <v>41</v>
      </c>
      <c r="L45" s="19">
        <f>R34</f>
        <v>1064</v>
      </c>
    </row>
    <row r="46" spans="1:19" x14ac:dyDescent="0.3">
      <c r="A46">
        <v>43</v>
      </c>
      <c r="B46" s="5">
        <v>43282</v>
      </c>
      <c r="C46" s="6">
        <v>1223.7</v>
      </c>
      <c r="D46" s="6"/>
      <c r="E46" s="6">
        <f t="shared" si="8"/>
        <v>1223.7</v>
      </c>
      <c r="F46" s="2">
        <v>2.819</v>
      </c>
      <c r="G46" s="3">
        <v>15.5</v>
      </c>
      <c r="H46" s="8">
        <v>2630.5</v>
      </c>
      <c r="I46" s="11">
        <v>2162</v>
      </c>
      <c r="J46" s="13"/>
      <c r="K46" s="18" t="s">
        <v>42</v>
      </c>
      <c r="L46" s="20">
        <f>S34</f>
        <v>886.66666666666663</v>
      </c>
    </row>
    <row r="47" spans="1:19" x14ac:dyDescent="0.3">
      <c r="A47">
        <v>44</v>
      </c>
      <c r="B47" s="5">
        <v>43313</v>
      </c>
      <c r="C47" s="6">
        <v>1200.3</v>
      </c>
      <c r="D47" s="6"/>
      <c r="E47" s="6">
        <f t="shared" si="8"/>
        <v>1200.3</v>
      </c>
      <c r="F47" s="2">
        <v>2.6709999999999998</v>
      </c>
      <c r="G47" s="3">
        <v>14.438000000000001</v>
      </c>
      <c r="H47" s="8">
        <v>2471.5</v>
      </c>
      <c r="I47" s="11">
        <v>2088.25</v>
      </c>
      <c r="J47" s="13"/>
    </row>
    <row r="48" spans="1:19" x14ac:dyDescent="0.3">
      <c r="A48">
        <v>45</v>
      </c>
      <c r="B48" s="5">
        <v>43344</v>
      </c>
      <c r="C48" s="6">
        <v>1191.5</v>
      </c>
      <c r="D48" s="6"/>
      <c r="E48" s="6">
        <f t="shared" si="8"/>
        <v>1191.5</v>
      </c>
      <c r="F48" s="2">
        <v>2.8250000000000002</v>
      </c>
      <c r="G48" s="3">
        <v>14.622999999999999</v>
      </c>
      <c r="H48" s="8">
        <v>2597</v>
      </c>
      <c r="I48" s="11">
        <v>2032</v>
      </c>
      <c r="J48" s="13"/>
    </row>
    <row r="49" spans="1:10" x14ac:dyDescent="0.3">
      <c r="A49">
        <v>46</v>
      </c>
      <c r="B49" s="5">
        <v>43374</v>
      </c>
      <c r="C49" s="6">
        <v>1212.3</v>
      </c>
      <c r="D49" s="6"/>
      <c r="E49" s="6">
        <f t="shared" si="8"/>
        <v>1212.3</v>
      </c>
      <c r="F49" s="2">
        <v>2.6779999999999999</v>
      </c>
      <c r="G49" s="3">
        <v>14.228999999999999</v>
      </c>
      <c r="H49" s="8">
        <v>2485.5</v>
      </c>
      <c r="I49" s="11">
        <v>1915.75</v>
      </c>
      <c r="J49" s="13"/>
    </row>
    <row r="50" spans="1:10" x14ac:dyDescent="0.3">
      <c r="A50">
        <v>47</v>
      </c>
      <c r="B50" s="5">
        <v>43405</v>
      </c>
      <c r="C50" s="6">
        <v>1220.2</v>
      </c>
      <c r="D50" s="6"/>
      <c r="E50" s="6">
        <f t="shared" si="8"/>
        <v>1220.2</v>
      </c>
      <c r="F50" s="2">
        <v>2.7879999999999998</v>
      </c>
      <c r="G50" s="3">
        <v>14.093999999999999</v>
      </c>
      <c r="H50" s="8">
        <v>2536</v>
      </c>
      <c r="I50" s="11">
        <v>1954.5</v>
      </c>
      <c r="J50" s="13"/>
    </row>
    <row r="51" spans="1:10" x14ac:dyDescent="0.3">
      <c r="A51">
        <v>48</v>
      </c>
      <c r="B51" s="5">
        <v>43435</v>
      </c>
      <c r="C51" s="6">
        <v>1278.3</v>
      </c>
      <c r="D51" s="6"/>
      <c r="E51" s="6">
        <f t="shared" si="8"/>
        <v>1259.3805555555557</v>
      </c>
      <c r="F51" s="2">
        <v>2.6509999999999998</v>
      </c>
      <c r="G51" s="3">
        <v>15.433</v>
      </c>
      <c r="H51" s="8">
        <v>2446</v>
      </c>
      <c r="I51" s="11">
        <v>2032.5</v>
      </c>
      <c r="J51" s="13"/>
    </row>
    <row r="52" spans="1:10" x14ac:dyDescent="0.3">
      <c r="A52">
        <v>49</v>
      </c>
      <c r="B52" s="5">
        <v>43466</v>
      </c>
      <c r="C52" s="6">
        <v>1319.7</v>
      </c>
      <c r="D52" s="6"/>
      <c r="E52" s="6">
        <f t="shared" si="8"/>
        <v>1265.0277777777778</v>
      </c>
      <c r="F52" s="2">
        <v>2.8109999999999999</v>
      </c>
      <c r="G52" s="3">
        <v>16.021999999999998</v>
      </c>
      <c r="H52" s="8">
        <v>2723.5</v>
      </c>
      <c r="I52" s="11">
        <v>2110.25</v>
      </c>
      <c r="J52" s="13"/>
    </row>
    <row r="53" spans="1:10" x14ac:dyDescent="0.3">
      <c r="A53">
        <v>50</v>
      </c>
      <c r="B53" s="5">
        <v>43497</v>
      </c>
      <c r="C53" s="6">
        <v>1312.8</v>
      </c>
      <c r="D53" s="6"/>
      <c r="E53" s="6">
        <f t="shared" si="8"/>
        <v>1267.2194444444444</v>
      </c>
      <c r="F53" s="2">
        <v>2.9620000000000002</v>
      </c>
      <c r="G53" s="3">
        <v>15.538</v>
      </c>
      <c r="H53" s="8">
        <v>2757.5</v>
      </c>
      <c r="I53" s="11">
        <v>2139.75</v>
      </c>
      <c r="J53" s="13"/>
    </row>
    <row r="54" spans="1:10" x14ac:dyDescent="0.3">
      <c r="A54">
        <v>51</v>
      </c>
      <c r="B54" s="5">
        <v>43525</v>
      </c>
      <c r="C54" s="6">
        <v>1293</v>
      </c>
      <c r="D54" s="6"/>
      <c r="E54" s="6">
        <f t="shared" si="8"/>
        <v>1268.8527777777779</v>
      </c>
      <c r="F54" s="2">
        <v>2.95</v>
      </c>
      <c r="G54" s="3">
        <v>15.295</v>
      </c>
      <c r="H54" s="8">
        <v>2911.25</v>
      </c>
      <c r="I54" s="11">
        <v>2015.75</v>
      </c>
      <c r="J54" s="13"/>
    </row>
    <row r="55" spans="1:10" x14ac:dyDescent="0.3">
      <c r="A55">
        <v>52</v>
      </c>
      <c r="B55" s="5">
        <v>43556</v>
      </c>
      <c r="C55" s="6">
        <v>1282.8</v>
      </c>
      <c r="D55" s="6"/>
      <c r="E55" s="6">
        <f t="shared" si="8"/>
        <v>1268.6750000000002</v>
      </c>
      <c r="F55" s="2">
        <v>2.92</v>
      </c>
      <c r="G55" s="3">
        <v>15.069000000000001</v>
      </c>
      <c r="H55" s="8">
        <v>2824.5</v>
      </c>
      <c r="I55" s="11">
        <v>1927.25</v>
      </c>
      <c r="J55" s="13"/>
    </row>
    <row r="56" spans="1:10" x14ac:dyDescent="0.3">
      <c r="A56">
        <v>53</v>
      </c>
      <c r="B56" s="5">
        <v>43586</v>
      </c>
      <c r="C56" s="6">
        <v>1305.8</v>
      </c>
      <c r="D56" s="6"/>
      <c r="E56" s="6">
        <f t="shared" si="8"/>
        <v>1271.202777777778</v>
      </c>
      <c r="F56" s="2">
        <v>2.6440000000000001</v>
      </c>
      <c r="G56" s="3">
        <v>14.756</v>
      </c>
      <c r="H56" s="8">
        <v>2523.25</v>
      </c>
      <c r="I56" s="11">
        <v>1804</v>
      </c>
      <c r="J56" s="13"/>
    </row>
    <row r="57" spans="1:10" x14ac:dyDescent="0.3">
      <c r="A57">
        <v>54</v>
      </c>
      <c r="B57" s="5">
        <v>43617</v>
      </c>
      <c r="C57" s="6">
        <v>1409.7</v>
      </c>
      <c r="D57" s="6"/>
      <c r="E57" s="6">
        <f t="shared" si="8"/>
        <v>1273.7388888888891</v>
      </c>
      <c r="F57" s="2">
        <v>2.72</v>
      </c>
      <c r="G57" s="3">
        <v>15.446999999999999</v>
      </c>
      <c r="H57" s="8">
        <v>2492.25</v>
      </c>
      <c r="I57" s="11">
        <v>1933.25</v>
      </c>
      <c r="J57" s="13"/>
    </row>
    <row r="58" spans="1:10" x14ac:dyDescent="0.3">
      <c r="A58">
        <v>55</v>
      </c>
      <c r="B58" s="5">
        <v>43647</v>
      </c>
      <c r="C58" s="6">
        <v>1426.1</v>
      </c>
      <c r="D58" s="6"/>
      <c r="E58" s="6">
        <f t="shared" si="8"/>
        <v>1275.8805555555557</v>
      </c>
      <c r="F58" s="2">
        <v>2.6760000000000002</v>
      </c>
      <c r="G58" s="3">
        <v>16.533000000000001</v>
      </c>
      <c r="H58" s="8">
        <v>2439.75</v>
      </c>
      <c r="I58" s="11">
        <v>2015</v>
      </c>
      <c r="J58" s="13"/>
    </row>
    <row r="59" spans="1:10" x14ac:dyDescent="0.3">
      <c r="A59">
        <v>56</v>
      </c>
      <c r="B59" s="5">
        <v>43678</v>
      </c>
      <c r="C59" s="6">
        <v>1519.1</v>
      </c>
      <c r="D59" s="6"/>
      <c r="E59" s="6">
        <f t="shared" si="8"/>
        <v>1281.7750000000001</v>
      </c>
      <c r="F59" s="2">
        <v>2.5619999999999998</v>
      </c>
      <c r="G59" s="3">
        <v>18.466999999999999</v>
      </c>
      <c r="H59" s="8">
        <v>2219</v>
      </c>
      <c r="I59" s="11">
        <v>2028.25</v>
      </c>
      <c r="J59" s="13"/>
    </row>
    <row r="60" spans="1:10" x14ac:dyDescent="0.3">
      <c r="A60">
        <v>57</v>
      </c>
      <c r="B60" s="5">
        <v>43709</v>
      </c>
      <c r="C60" s="6">
        <v>1465.7</v>
      </c>
      <c r="D60" s="6"/>
      <c r="E60" s="6">
        <f t="shared" si="8"/>
        <v>1286.0083333333332</v>
      </c>
      <c r="F60" s="2">
        <v>2.59</v>
      </c>
      <c r="G60" s="3">
        <v>17.13</v>
      </c>
      <c r="H60" s="8">
        <v>2366.25</v>
      </c>
      <c r="I60" s="11">
        <v>2129</v>
      </c>
      <c r="J60" s="13"/>
    </row>
    <row r="61" spans="1:10" x14ac:dyDescent="0.3">
      <c r="A61">
        <v>58</v>
      </c>
      <c r="B61" s="5">
        <v>43739</v>
      </c>
      <c r="C61" s="6">
        <v>1511.4</v>
      </c>
      <c r="D61" s="6"/>
      <c r="E61" s="6">
        <f t="shared" si="8"/>
        <v>1292.6722222222222</v>
      </c>
      <c r="F61" s="2">
        <v>2.6469999999999998</v>
      </c>
      <c r="G61" s="3">
        <v>18.22</v>
      </c>
      <c r="H61" s="8">
        <v>2487.5</v>
      </c>
      <c r="I61" s="11">
        <v>2158</v>
      </c>
      <c r="J61" s="13"/>
    </row>
    <row r="62" spans="1:10" x14ac:dyDescent="0.3">
      <c r="A62">
        <v>59</v>
      </c>
      <c r="B62" s="5">
        <v>43770</v>
      </c>
      <c r="C62" s="6">
        <v>1465.6</v>
      </c>
      <c r="D62" s="6"/>
      <c r="E62" s="6">
        <f t="shared" si="8"/>
        <v>1300.8611111111111</v>
      </c>
      <c r="F62" s="2">
        <v>2.6619999999999999</v>
      </c>
      <c r="G62" s="3">
        <v>17.106000000000002</v>
      </c>
      <c r="H62" s="8">
        <v>2275.75</v>
      </c>
      <c r="I62" s="11">
        <v>1944.25</v>
      </c>
      <c r="J62" s="13"/>
    </row>
    <row r="63" spans="1:10" x14ac:dyDescent="0.3">
      <c r="A63">
        <v>60</v>
      </c>
      <c r="B63" s="5">
        <v>43800</v>
      </c>
      <c r="C63" s="6">
        <v>1519.5</v>
      </c>
      <c r="D63" s="6">
        <f t="shared" ref="D63:D68" si="9">MIN(AVERAGE(C4:C63),C63)</f>
        <v>1266.5999999999999</v>
      </c>
      <c r="E63" s="6">
        <f t="shared" si="8"/>
        <v>1311.1249999999998</v>
      </c>
      <c r="F63" s="2">
        <v>2.7970000000000002</v>
      </c>
      <c r="G63" s="3">
        <v>17.920999999999999</v>
      </c>
      <c r="H63" s="8">
        <v>2275.5</v>
      </c>
      <c r="I63" s="11">
        <v>1921.75</v>
      </c>
    </row>
    <row r="64" spans="1:10" x14ac:dyDescent="0.3">
      <c r="A64">
        <v>61</v>
      </c>
      <c r="B64" s="5">
        <v>43831</v>
      </c>
      <c r="C64" s="6">
        <v>1587.9</v>
      </c>
      <c r="D64" s="6">
        <f t="shared" si="9"/>
        <v>1271.7566666666667</v>
      </c>
      <c r="E64" s="6">
        <f t="shared" si="8"/>
        <v>1321.661111111111</v>
      </c>
      <c r="F64" s="2">
        <v>2.5169999999999999</v>
      </c>
      <c r="G64" s="3">
        <v>18.012</v>
      </c>
      <c r="H64" s="8">
        <v>2208.25</v>
      </c>
      <c r="I64" s="11">
        <v>1876</v>
      </c>
    </row>
    <row r="65" spans="1:9" x14ac:dyDescent="0.3">
      <c r="A65">
        <v>62</v>
      </c>
      <c r="B65" s="5">
        <v>43862</v>
      </c>
      <c r="C65" s="6">
        <v>1566.7</v>
      </c>
      <c r="D65" s="6">
        <f t="shared" si="9"/>
        <v>1277.6583333333333</v>
      </c>
      <c r="E65" s="6">
        <f t="shared" si="8"/>
        <v>1330.3861111111107</v>
      </c>
      <c r="F65" s="2">
        <v>2.5459999999999998</v>
      </c>
      <c r="G65" s="3">
        <v>16.387</v>
      </c>
      <c r="H65" s="8">
        <v>2021.25</v>
      </c>
      <c r="I65" s="11">
        <v>1847.75</v>
      </c>
    </row>
    <row r="66" spans="1:9" x14ac:dyDescent="0.3">
      <c r="A66">
        <v>63</v>
      </c>
      <c r="B66" s="5">
        <v>43891</v>
      </c>
      <c r="C66" s="6">
        <v>1592.1</v>
      </c>
      <c r="D66" s="6">
        <f t="shared" si="9"/>
        <v>1284.4749999999999</v>
      </c>
      <c r="E66" s="6">
        <f t="shared" si="8"/>
        <v>1339.9638888888885</v>
      </c>
      <c r="F66" s="2">
        <v>2.234</v>
      </c>
      <c r="G66" s="3">
        <v>14.191000000000001</v>
      </c>
      <c r="H66" s="8">
        <v>1907.5</v>
      </c>
      <c r="I66" s="11">
        <v>1748</v>
      </c>
    </row>
    <row r="67" spans="1:9" x14ac:dyDescent="0.3">
      <c r="A67">
        <v>64</v>
      </c>
      <c r="B67" s="5">
        <v>43922</v>
      </c>
      <c r="C67" s="6">
        <v>1694.2</v>
      </c>
      <c r="D67" s="6">
        <f t="shared" si="9"/>
        <v>1293.0049999999999</v>
      </c>
      <c r="E67" s="6">
        <f t="shared" si="8"/>
        <v>1351.8555555555549</v>
      </c>
      <c r="F67" s="2">
        <v>2.306</v>
      </c>
      <c r="G67" s="3">
        <v>14.973000000000001</v>
      </c>
      <c r="H67" s="8">
        <v>1930.25</v>
      </c>
      <c r="I67" s="11">
        <v>1630</v>
      </c>
    </row>
    <row r="68" spans="1:9" x14ac:dyDescent="0.3">
      <c r="A68">
        <v>65</v>
      </c>
      <c r="B68" s="5">
        <v>43952</v>
      </c>
      <c r="C68" s="6">
        <v>1751.7</v>
      </c>
      <c r="D68" s="6">
        <f t="shared" si="9"/>
        <v>1302.3766666666666</v>
      </c>
      <c r="E68" s="6">
        <f t="shared" si="8"/>
        <v>1365.1805555555552</v>
      </c>
      <c r="F68" s="2">
        <v>2.4249999999999998</v>
      </c>
      <c r="G68" s="3">
        <v>18.498999999999999</v>
      </c>
      <c r="H68" s="8">
        <v>1987</v>
      </c>
      <c r="I68" s="11">
        <v>1663.75</v>
      </c>
    </row>
    <row r="69" spans="1:9" x14ac:dyDescent="0.3">
      <c r="A69">
        <v>66</v>
      </c>
      <c r="B69" s="5">
        <v>43983</v>
      </c>
      <c r="C69" s="6">
        <v>1688.35</v>
      </c>
      <c r="D69" s="6">
        <f>MIN(AVERAGE(C10:C69),C69)</f>
        <v>1310.9908333333333</v>
      </c>
      <c r="E69" s="6">
        <f>MIN(AVERAGE(C34:C69),C69)</f>
        <v>1377.6152777777772</v>
      </c>
      <c r="F69" s="2">
        <v>2.5339999999999998</v>
      </c>
      <c r="G69" s="3">
        <v>17.562000000000001</v>
      </c>
      <c r="H69" s="8">
        <v>2016.5</v>
      </c>
      <c r="I69" s="11">
        <v>1762.5</v>
      </c>
    </row>
    <row r="70" spans="1:9" x14ac:dyDescent="0.3">
      <c r="C70" s="9"/>
      <c r="D70" s="9"/>
      <c r="E70" s="9"/>
    </row>
    <row r="72" spans="1:9" x14ac:dyDescent="0.3">
      <c r="C72" s="9"/>
      <c r="D72" s="9"/>
      <c r="E72" s="9"/>
    </row>
    <row r="73" spans="1:9" x14ac:dyDescent="0.3">
      <c r="C73" s="9"/>
      <c r="D73" s="9"/>
      <c r="E73" s="9"/>
      <c r="I73" s="14"/>
    </row>
    <row r="74" spans="1:9" x14ac:dyDescent="0.3">
      <c r="C74" s="9"/>
      <c r="D74" s="9"/>
      <c r="E74" s="9"/>
      <c r="I74" s="14"/>
    </row>
    <row r="75" spans="1:9" x14ac:dyDescent="0.3">
      <c r="C75" s="9"/>
      <c r="D75" s="9"/>
      <c r="E75" s="9"/>
    </row>
    <row r="76" spans="1:9" x14ac:dyDescent="0.3">
      <c r="C76" s="9"/>
      <c r="D76" s="9"/>
      <c r="E76" s="9"/>
    </row>
    <row r="77" spans="1:9" x14ac:dyDescent="0.3">
      <c r="C77" s="9"/>
      <c r="D77" s="9"/>
      <c r="E77" s="9"/>
    </row>
    <row r="78" spans="1:9" x14ac:dyDescent="0.3">
      <c r="C78" s="9"/>
      <c r="D78" s="9"/>
      <c r="E78" s="9"/>
    </row>
    <row r="79" spans="1:9" x14ac:dyDescent="0.3">
      <c r="C79" s="9"/>
      <c r="D79" s="9"/>
      <c r="E79" s="9"/>
    </row>
    <row r="80" spans="1:9" x14ac:dyDescent="0.3">
      <c r="C80" s="9"/>
      <c r="D80" s="9"/>
      <c r="E80" s="9"/>
    </row>
    <row r="81" spans="3:5" x14ac:dyDescent="0.3">
      <c r="C81" s="9"/>
      <c r="D81" s="9"/>
      <c r="E81" s="9"/>
    </row>
    <row r="82" spans="3:5" x14ac:dyDescent="0.3">
      <c r="C82" s="9"/>
      <c r="D82" s="9"/>
      <c r="E82" s="9"/>
    </row>
    <row r="83" spans="3:5" x14ac:dyDescent="0.3">
      <c r="C83" s="9"/>
      <c r="D83" s="9"/>
      <c r="E83" s="9"/>
    </row>
    <row r="84" spans="3:5" x14ac:dyDescent="0.3">
      <c r="C84" s="9"/>
      <c r="D84" s="9"/>
      <c r="E84" s="9"/>
    </row>
    <row r="85" spans="3:5" x14ac:dyDescent="0.3">
      <c r="C85" s="9"/>
      <c r="D85" s="9"/>
      <c r="E85" s="9"/>
    </row>
    <row r="86" spans="3:5" x14ac:dyDescent="0.3">
      <c r="C86" s="9"/>
      <c r="D86" s="9"/>
      <c r="E86" s="9"/>
    </row>
    <row r="87" spans="3:5" x14ac:dyDescent="0.3">
      <c r="C87" s="9"/>
      <c r="D87" s="9"/>
      <c r="E87" s="9"/>
    </row>
    <row r="88" spans="3:5" x14ac:dyDescent="0.3">
      <c r="C88" s="9"/>
      <c r="D88" s="9"/>
      <c r="E88" s="9"/>
    </row>
    <row r="89" spans="3:5" x14ac:dyDescent="0.3">
      <c r="C89" s="9"/>
      <c r="D89" s="9"/>
      <c r="E89" s="9"/>
    </row>
    <row r="90" spans="3:5" x14ac:dyDescent="0.3">
      <c r="C90" s="9"/>
      <c r="D90" s="9"/>
      <c r="E90" s="9"/>
    </row>
    <row r="91" spans="3:5" x14ac:dyDescent="0.3">
      <c r="C91" s="9"/>
      <c r="D91" s="9"/>
      <c r="E91" s="9"/>
    </row>
    <row r="92" spans="3:5" x14ac:dyDescent="0.3">
      <c r="C92" s="9"/>
      <c r="D92" s="9"/>
      <c r="E92" s="9"/>
    </row>
    <row r="93" spans="3:5" x14ac:dyDescent="0.3">
      <c r="C93" s="9"/>
      <c r="D93" s="9"/>
      <c r="E93" s="9"/>
    </row>
    <row r="94" spans="3:5" x14ac:dyDescent="0.3">
      <c r="C94" s="9"/>
      <c r="D94" s="9"/>
      <c r="E94" s="9"/>
    </row>
    <row r="95" spans="3:5" x14ac:dyDescent="0.3">
      <c r="C95" s="9"/>
      <c r="D95" s="9"/>
      <c r="E95" s="9"/>
    </row>
    <row r="96" spans="3:5" x14ac:dyDescent="0.3">
      <c r="C96" s="9"/>
      <c r="D96" s="9"/>
      <c r="E96" s="9"/>
    </row>
    <row r="97" spans="3:5" x14ac:dyDescent="0.3">
      <c r="C97" s="9"/>
      <c r="D97" s="9"/>
      <c r="E97" s="9"/>
    </row>
    <row r="98" spans="3:5" x14ac:dyDescent="0.3">
      <c r="C98" s="9"/>
      <c r="D98" s="9"/>
      <c r="E98" s="9"/>
    </row>
    <row r="99" spans="3:5" x14ac:dyDescent="0.3">
      <c r="C99" s="9"/>
      <c r="D99" s="9"/>
      <c r="E99" s="9"/>
    </row>
    <row r="100" spans="3:5" x14ac:dyDescent="0.3">
      <c r="C100" s="9"/>
      <c r="D100" s="9"/>
      <c r="E100" s="9"/>
    </row>
    <row r="101" spans="3:5" x14ac:dyDescent="0.3">
      <c r="C101" s="9"/>
      <c r="D101" s="9"/>
      <c r="E101" s="9"/>
    </row>
    <row r="102" spans="3:5" x14ac:dyDescent="0.3">
      <c r="C102" s="9"/>
      <c r="D102" s="9"/>
      <c r="E102" s="9"/>
    </row>
    <row r="103" spans="3:5" x14ac:dyDescent="0.3">
      <c r="C103" s="9"/>
      <c r="D103" s="9"/>
      <c r="E103" s="9"/>
    </row>
    <row r="104" spans="3:5" x14ac:dyDescent="0.3">
      <c r="C104" s="9"/>
      <c r="D104" s="9"/>
      <c r="E104" s="9"/>
    </row>
    <row r="105" spans="3:5" x14ac:dyDescent="0.3">
      <c r="C105" s="9"/>
      <c r="D105" s="9"/>
      <c r="E105" s="9"/>
    </row>
    <row r="106" spans="3:5" x14ac:dyDescent="0.3">
      <c r="C106" s="9"/>
      <c r="D106" s="9"/>
      <c r="E106" s="9"/>
    </row>
    <row r="107" spans="3:5" x14ac:dyDescent="0.3">
      <c r="C107" s="9"/>
      <c r="D107" s="9"/>
      <c r="E107" s="9"/>
    </row>
    <row r="108" spans="3:5" x14ac:dyDescent="0.3">
      <c r="C108" s="9"/>
      <c r="D108" s="9"/>
      <c r="E108" s="9"/>
    </row>
    <row r="109" spans="3:5" x14ac:dyDescent="0.3">
      <c r="C109" s="9"/>
      <c r="D109" s="9"/>
      <c r="E109" s="9"/>
    </row>
    <row r="110" spans="3:5" x14ac:dyDescent="0.3">
      <c r="C110" s="9"/>
      <c r="D110" s="9"/>
      <c r="E110" s="9"/>
    </row>
    <row r="111" spans="3:5" x14ac:dyDescent="0.3">
      <c r="C111" s="9"/>
      <c r="D111" s="9"/>
      <c r="E111" s="9"/>
    </row>
    <row r="112" spans="3:5" x14ac:dyDescent="0.3">
      <c r="C112" s="9"/>
      <c r="D112" s="9"/>
      <c r="E112" s="9"/>
    </row>
    <row r="113" spans="3:5" x14ac:dyDescent="0.3">
      <c r="C113" s="9"/>
      <c r="D113" s="9"/>
      <c r="E113" s="9"/>
    </row>
    <row r="114" spans="3:5" x14ac:dyDescent="0.3">
      <c r="C114" s="9"/>
      <c r="D114" s="9"/>
      <c r="E114" s="9"/>
    </row>
    <row r="115" spans="3:5" x14ac:dyDescent="0.3">
      <c r="C115" s="9"/>
      <c r="D115" s="9"/>
      <c r="E115" s="9"/>
    </row>
    <row r="116" spans="3:5" x14ac:dyDescent="0.3">
      <c r="C116" s="9"/>
      <c r="D116" s="9"/>
      <c r="E116" s="9"/>
    </row>
    <row r="117" spans="3:5" x14ac:dyDescent="0.3">
      <c r="C117" s="9"/>
      <c r="D117" s="9"/>
      <c r="E117" s="9"/>
    </row>
    <row r="118" spans="3:5" x14ac:dyDescent="0.3">
      <c r="C118" s="9"/>
      <c r="D118" s="9"/>
      <c r="E118" s="9"/>
    </row>
    <row r="119" spans="3:5" x14ac:dyDescent="0.3">
      <c r="C119" s="9"/>
      <c r="D119" s="9"/>
      <c r="E119" s="9"/>
    </row>
    <row r="120" spans="3:5" x14ac:dyDescent="0.3">
      <c r="C120" s="9"/>
      <c r="D120" s="9"/>
      <c r="E120" s="9"/>
    </row>
    <row r="121" spans="3:5" x14ac:dyDescent="0.3">
      <c r="C121" s="9"/>
      <c r="D121" s="9"/>
      <c r="E121" s="9"/>
    </row>
    <row r="122" spans="3:5" x14ac:dyDescent="0.3">
      <c r="C122" s="9"/>
      <c r="D122" s="9"/>
      <c r="E122" s="9"/>
    </row>
    <row r="123" spans="3:5" x14ac:dyDescent="0.3">
      <c r="C123" s="9"/>
      <c r="D123" s="9"/>
      <c r="E123" s="9"/>
    </row>
    <row r="124" spans="3:5" x14ac:dyDescent="0.3">
      <c r="C124" s="9"/>
      <c r="D124" s="9"/>
      <c r="E124" s="9"/>
    </row>
    <row r="125" spans="3:5" x14ac:dyDescent="0.3">
      <c r="C125" s="9"/>
      <c r="D125" s="9"/>
      <c r="E125" s="9"/>
    </row>
    <row r="126" spans="3:5" x14ac:dyDescent="0.3">
      <c r="C126" s="9"/>
      <c r="D126" s="9"/>
      <c r="E126" s="9"/>
    </row>
    <row r="127" spans="3:5" x14ac:dyDescent="0.3">
      <c r="C127" s="9"/>
      <c r="D127" s="9"/>
      <c r="E127" s="9"/>
    </row>
    <row r="128" spans="3:5" x14ac:dyDescent="0.3">
      <c r="C128" s="9"/>
      <c r="D128" s="9"/>
      <c r="E128" s="9"/>
    </row>
    <row r="129" spans="3:5" x14ac:dyDescent="0.3">
      <c r="C129" s="9"/>
      <c r="D129" s="9"/>
      <c r="E129" s="9"/>
    </row>
    <row r="130" spans="3:5" x14ac:dyDescent="0.3">
      <c r="C130" s="9"/>
      <c r="D130" s="9"/>
      <c r="E130" s="9"/>
    </row>
    <row r="131" spans="3:5" x14ac:dyDescent="0.3">
      <c r="C131" s="9"/>
      <c r="D131" s="9"/>
      <c r="E131" s="9"/>
    </row>
    <row r="132" spans="3:5" x14ac:dyDescent="0.3">
      <c r="C132" s="9"/>
      <c r="D132" s="9"/>
      <c r="E132" s="9"/>
    </row>
    <row r="133" spans="3:5" x14ac:dyDescent="0.3">
      <c r="C133" s="9"/>
      <c r="D133" s="9"/>
      <c r="E133" s="9"/>
    </row>
    <row r="134" spans="3:5" x14ac:dyDescent="0.3">
      <c r="C134" s="9"/>
      <c r="D134" s="9"/>
      <c r="E134" s="9"/>
    </row>
    <row r="135" spans="3:5" x14ac:dyDescent="0.3">
      <c r="C135" s="9"/>
      <c r="D135" s="9"/>
      <c r="E135" s="9"/>
    </row>
    <row r="136" spans="3:5" x14ac:dyDescent="0.3">
      <c r="C136" s="9"/>
      <c r="D136" s="9"/>
      <c r="E136" s="9"/>
    </row>
    <row r="137" spans="3:5" x14ac:dyDescent="0.3">
      <c r="C137" s="9"/>
      <c r="D137" s="9"/>
      <c r="E137" s="9"/>
    </row>
    <row r="138" spans="3:5" x14ac:dyDescent="0.3">
      <c r="C138" s="9"/>
      <c r="D138" s="9"/>
      <c r="E138" s="9"/>
    </row>
    <row r="139" spans="3:5" x14ac:dyDescent="0.3">
      <c r="C139" s="9"/>
      <c r="D139" s="9"/>
      <c r="E139" s="9"/>
    </row>
    <row r="140" spans="3:5" x14ac:dyDescent="0.3">
      <c r="C140" s="9"/>
      <c r="D140" s="9"/>
      <c r="E140" s="9"/>
    </row>
    <row r="141" spans="3:5" x14ac:dyDescent="0.3">
      <c r="C141" s="9"/>
      <c r="D141" s="9"/>
      <c r="E141" s="9"/>
    </row>
    <row r="142" spans="3:5" x14ac:dyDescent="0.3">
      <c r="C142" s="9"/>
      <c r="D142" s="9"/>
      <c r="E142" s="9"/>
    </row>
    <row r="143" spans="3:5" x14ac:dyDescent="0.3">
      <c r="C143" s="9"/>
      <c r="D143" s="9"/>
      <c r="E143" s="9"/>
    </row>
    <row r="144" spans="3:5" x14ac:dyDescent="0.3">
      <c r="C144" s="9"/>
      <c r="D144" s="9"/>
      <c r="E144" s="9"/>
    </row>
    <row r="145" spans="3:5" x14ac:dyDescent="0.3">
      <c r="C145" s="9"/>
      <c r="D145" s="9"/>
      <c r="E145" s="9"/>
    </row>
    <row r="146" spans="3:5" x14ac:dyDescent="0.3">
      <c r="C146" s="9"/>
      <c r="D146" s="9"/>
      <c r="E146" s="9"/>
    </row>
    <row r="147" spans="3:5" x14ac:dyDescent="0.3">
      <c r="C147" s="9"/>
      <c r="D147" s="9"/>
      <c r="E147" s="9"/>
    </row>
    <row r="148" spans="3:5" x14ac:dyDescent="0.3">
      <c r="C148" s="9"/>
      <c r="D148" s="9"/>
      <c r="E148" s="9"/>
    </row>
    <row r="149" spans="3:5" x14ac:dyDescent="0.3">
      <c r="C149" s="9"/>
      <c r="D149" s="9"/>
      <c r="E149" s="9"/>
    </row>
    <row r="150" spans="3:5" x14ac:dyDescent="0.3">
      <c r="C150" s="9"/>
      <c r="D150" s="9"/>
      <c r="E150" s="9"/>
    </row>
    <row r="151" spans="3:5" x14ac:dyDescent="0.3">
      <c r="C151" s="9"/>
      <c r="D151" s="9"/>
      <c r="E151" s="9"/>
    </row>
    <row r="152" spans="3:5" x14ac:dyDescent="0.3">
      <c r="C152" s="9"/>
      <c r="D152" s="9"/>
      <c r="E152" s="9"/>
    </row>
    <row r="153" spans="3:5" x14ac:dyDescent="0.3">
      <c r="C153" s="9"/>
      <c r="D153" s="9"/>
      <c r="E153" s="9"/>
    </row>
    <row r="154" spans="3:5" x14ac:dyDescent="0.3">
      <c r="C154" s="9"/>
      <c r="D154" s="9"/>
      <c r="E154" s="9"/>
    </row>
    <row r="155" spans="3:5" x14ac:dyDescent="0.3">
      <c r="C155" s="9"/>
      <c r="D155" s="9"/>
      <c r="E155" s="9"/>
    </row>
    <row r="156" spans="3:5" x14ac:dyDescent="0.3">
      <c r="C156" s="9"/>
      <c r="D156" s="9"/>
      <c r="E156" s="9"/>
    </row>
    <row r="157" spans="3:5" x14ac:dyDescent="0.3">
      <c r="C157" s="9"/>
      <c r="D157" s="9"/>
      <c r="E157" s="9"/>
    </row>
    <row r="158" spans="3:5" x14ac:dyDescent="0.3">
      <c r="C158" s="9"/>
      <c r="D158" s="9"/>
      <c r="E158" s="9"/>
    </row>
    <row r="159" spans="3:5" x14ac:dyDescent="0.3">
      <c r="C159" s="9"/>
      <c r="D159" s="9"/>
      <c r="E159" s="9"/>
    </row>
    <row r="160" spans="3:5" x14ac:dyDescent="0.3">
      <c r="C160" s="9"/>
      <c r="D160" s="9"/>
      <c r="E160" s="9"/>
    </row>
    <row r="161" spans="3:5" x14ac:dyDescent="0.3">
      <c r="C161" s="9"/>
      <c r="D161" s="9"/>
      <c r="E161" s="9"/>
    </row>
    <row r="162" spans="3:5" x14ac:dyDescent="0.3">
      <c r="C162" s="9"/>
      <c r="D162" s="9"/>
      <c r="E162" s="9"/>
    </row>
    <row r="163" spans="3:5" x14ac:dyDescent="0.3">
      <c r="C163" s="9"/>
      <c r="D163" s="9"/>
      <c r="E163" s="9"/>
    </row>
    <row r="164" spans="3:5" x14ac:dyDescent="0.3">
      <c r="C164" s="9"/>
      <c r="D164" s="9"/>
      <c r="E164" s="9"/>
    </row>
    <row r="165" spans="3:5" x14ac:dyDescent="0.3">
      <c r="C165" s="9"/>
      <c r="D165" s="9"/>
      <c r="E165" s="9"/>
    </row>
    <row r="166" spans="3:5" x14ac:dyDescent="0.3">
      <c r="C166" s="9"/>
      <c r="D166" s="9"/>
      <c r="E166" s="9"/>
    </row>
    <row r="167" spans="3:5" x14ac:dyDescent="0.3">
      <c r="C167" s="9"/>
      <c r="D167" s="9"/>
      <c r="E167" s="9"/>
    </row>
    <row r="168" spans="3:5" x14ac:dyDescent="0.3">
      <c r="C168" s="9"/>
      <c r="D168" s="9"/>
      <c r="E168" s="9"/>
    </row>
    <row r="169" spans="3:5" x14ac:dyDescent="0.3">
      <c r="C169" s="9"/>
      <c r="D169" s="9"/>
      <c r="E169" s="9"/>
    </row>
    <row r="170" spans="3:5" x14ac:dyDescent="0.3">
      <c r="C170" s="9"/>
      <c r="D170" s="9"/>
      <c r="E170" s="9"/>
    </row>
    <row r="171" spans="3:5" x14ac:dyDescent="0.3">
      <c r="C171" s="9"/>
      <c r="D171" s="9"/>
      <c r="E171" s="9"/>
    </row>
    <row r="172" spans="3:5" x14ac:dyDescent="0.3">
      <c r="C172" s="9"/>
      <c r="D172" s="9"/>
      <c r="E172" s="9"/>
    </row>
    <row r="173" spans="3:5" x14ac:dyDescent="0.3">
      <c r="C173" s="9"/>
      <c r="D173" s="9"/>
      <c r="E173" s="9"/>
    </row>
    <row r="174" spans="3:5" x14ac:dyDescent="0.3">
      <c r="C174" s="9"/>
      <c r="D174" s="9"/>
      <c r="E174" s="9"/>
    </row>
    <row r="175" spans="3:5" x14ac:dyDescent="0.3">
      <c r="C175" s="9"/>
      <c r="D175" s="9"/>
      <c r="E175" s="9"/>
    </row>
    <row r="176" spans="3:5" x14ac:dyDescent="0.3">
      <c r="C176" s="9"/>
      <c r="D176" s="9"/>
      <c r="E176" s="9"/>
    </row>
    <row r="177" spans="3:5" x14ac:dyDescent="0.3">
      <c r="C177" s="9"/>
      <c r="D177" s="9"/>
      <c r="E177" s="9"/>
    </row>
    <row r="178" spans="3:5" x14ac:dyDescent="0.3">
      <c r="C178" s="9"/>
      <c r="D178" s="9"/>
      <c r="E178" s="9"/>
    </row>
    <row r="179" spans="3:5" x14ac:dyDescent="0.3">
      <c r="C179" s="9"/>
      <c r="D179" s="9"/>
      <c r="E179" s="9"/>
    </row>
    <row r="180" spans="3:5" x14ac:dyDescent="0.3">
      <c r="C180" s="9"/>
      <c r="D180" s="9"/>
      <c r="E180" s="9"/>
    </row>
    <row r="181" spans="3:5" x14ac:dyDescent="0.3">
      <c r="C181" s="9"/>
      <c r="D181" s="9"/>
      <c r="E181" s="9"/>
    </row>
    <row r="182" spans="3:5" x14ac:dyDescent="0.3">
      <c r="C182" s="9"/>
      <c r="D182" s="9"/>
      <c r="E182" s="9"/>
    </row>
    <row r="183" spans="3:5" x14ac:dyDescent="0.3">
      <c r="C183" s="9"/>
      <c r="D183" s="9"/>
      <c r="E183" s="9"/>
    </row>
    <row r="184" spans="3:5" x14ac:dyDescent="0.3">
      <c r="C184" s="9"/>
      <c r="D184" s="9"/>
      <c r="E184" s="9"/>
    </row>
    <row r="185" spans="3:5" x14ac:dyDescent="0.3">
      <c r="C185" s="9"/>
      <c r="D185" s="9"/>
      <c r="E185" s="9"/>
    </row>
    <row r="186" spans="3:5" x14ac:dyDescent="0.3">
      <c r="C186" s="9"/>
      <c r="D186" s="9"/>
      <c r="E186" s="9"/>
    </row>
    <row r="187" spans="3:5" x14ac:dyDescent="0.3">
      <c r="C187" s="9"/>
      <c r="D187" s="9"/>
      <c r="E187" s="9"/>
    </row>
    <row r="188" spans="3:5" x14ac:dyDescent="0.3">
      <c r="C188" s="9"/>
      <c r="D188" s="9"/>
      <c r="E188" s="9"/>
    </row>
    <row r="189" spans="3:5" x14ac:dyDescent="0.3">
      <c r="C189" s="9"/>
      <c r="D189" s="9"/>
      <c r="E189" s="9"/>
    </row>
    <row r="190" spans="3:5" x14ac:dyDescent="0.3">
      <c r="C190" s="9"/>
      <c r="D190" s="9"/>
      <c r="E190" s="9"/>
    </row>
    <row r="191" spans="3:5" x14ac:dyDescent="0.3">
      <c r="C191" s="9"/>
      <c r="D191" s="9"/>
      <c r="E191" s="9"/>
    </row>
    <row r="192" spans="3:5" x14ac:dyDescent="0.3">
      <c r="C192" s="9"/>
      <c r="D192" s="9"/>
      <c r="E192" s="9"/>
    </row>
    <row r="193" spans="3:5" x14ac:dyDescent="0.3">
      <c r="C193" s="9"/>
      <c r="D193" s="9"/>
      <c r="E193" s="9"/>
    </row>
    <row r="194" spans="3:5" x14ac:dyDescent="0.3">
      <c r="C194" s="9"/>
      <c r="D194" s="9"/>
      <c r="E194" s="9"/>
    </row>
    <row r="195" spans="3:5" x14ac:dyDescent="0.3">
      <c r="C195" s="9"/>
      <c r="D195" s="9"/>
      <c r="E195" s="9"/>
    </row>
    <row r="196" spans="3:5" x14ac:dyDescent="0.3">
      <c r="C196" s="9"/>
      <c r="D196" s="9"/>
      <c r="E196" s="9"/>
    </row>
    <row r="197" spans="3:5" x14ac:dyDescent="0.3">
      <c r="C197" s="9"/>
      <c r="D197" s="9"/>
      <c r="E197" s="9"/>
    </row>
    <row r="198" spans="3:5" x14ac:dyDescent="0.3">
      <c r="C198" s="9"/>
      <c r="D198" s="9"/>
      <c r="E198" s="9"/>
    </row>
    <row r="199" spans="3:5" x14ac:dyDescent="0.3">
      <c r="C199" s="9"/>
      <c r="D199" s="9"/>
      <c r="E199" s="9"/>
    </row>
    <row r="200" spans="3:5" x14ac:dyDescent="0.3">
      <c r="C200" s="9"/>
      <c r="D200" s="9"/>
      <c r="E200" s="9"/>
    </row>
    <row r="201" spans="3:5" x14ac:dyDescent="0.3">
      <c r="C201" s="9"/>
      <c r="D201" s="9"/>
      <c r="E201" s="9"/>
    </row>
    <row r="202" spans="3:5" x14ac:dyDescent="0.3">
      <c r="C202" s="9"/>
      <c r="D202" s="9"/>
      <c r="E202" s="9"/>
    </row>
    <row r="203" spans="3:5" x14ac:dyDescent="0.3">
      <c r="C203" s="9"/>
      <c r="D203" s="9"/>
      <c r="E203" s="9"/>
    </row>
    <row r="204" spans="3:5" x14ac:dyDescent="0.3">
      <c r="C204" s="9"/>
      <c r="D204" s="9"/>
      <c r="E204" s="9"/>
    </row>
    <row r="205" spans="3:5" x14ac:dyDescent="0.3">
      <c r="C205" s="9"/>
      <c r="D205" s="9"/>
      <c r="E205" s="9"/>
    </row>
    <row r="206" spans="3:5" x14ac:dyDescent="0.3">
      <c r="C206" s="9"/>
      <c r="D206" s="9"/>
      <c r="E206" s="9"/>
    </row>
    <row r="207" spans="3:5" x14ac:dyDescent="0.3">
      <c r="C207" s="9"/>
      <c r="D207" s="9"/>
      <c r="E207" s="9"/>
    </row>
    <row r="208" spans="3:5" x14ac:dyDescent="0.3">
      <c r="C208" s="9"/>
      <c r="D208" s="9"/>
      <c r="E208" s="9"/>
    </row>
    <row r="209" spans="3:5" x14ac:dyDescent="0.3">
      <c r="C209" s="9"/>
      <c r="D209" s="9"/>
      <c r="E209" s="9"/>
    </row>
    <row r="210" spans="3:5" x14ac:dyDescent="0.3">
      <c r="C210" s="9"/>
      <c r="D210" s="9"/>
      <c r="E210" s="9"/>
    </row>
    <row r="211" spans="3:5" x14ac:dyDescent="0.3">
      <c r="C211" s="9"/>
      <c r="D211" s="9"/>
      <c r="E211" s="9"/>
    </row>
    <row r="212" spans="3:5" x14ac:dyDescent="0.3">
      <c r="C212" s="9"/>
      <c r="D212" s="9"/>
      <c r="E212" s="9"/>
    </row>
    <row r="213" spans="3:5" x14ac:dyDescent="0.3">
      <c r="C213" s="9"/>
      <c r="D213" s="9"/>
      <c r="E213" s="9"/>
    </row>
    <row r="214" spans="3:5" x14ac:dyDescent="0.3">
      <c r="C214" s="9"/>
      <c r="D214" s="9"/>
      <c r="E214" s="9"/>
    </row>
    <row r="215" spans="3:5" x14ac:dyDescent="0.3">
      <c r="C215" s="9"/>
      <c r="D215" s="9"/>
      <c r="E215" s="9"/>
    </row>
    <row r="216" spans="3:5" x14ac:dyDescent="0.3">
      <c r="C216" s="9"/>
      <c r="D216" s="9"/>
      <c r="E216" s="9"/>
    </row>
    <row r="217" spans="3:5" x14ac:dyDescent="0.3">
      <c r="C217" s="9"/>
      <c r="D217" s="9"/>
      <c r="E217" s="9"/>
    </row>
    <row r="218" spans="3:5" x14ac:dyDescent="0.3">
      <c r="C218" s="9"/>
      <c r="D218" s="9"/>
      <c r="E218" s="9"/>
    </row>
    <row r="219" spans="3:5" x14ac:dyDescent="0.3">
      <c r="C219" s="9"/>
      <c r="D219" s="9"/>
      <c r="E219" s="9"/>
    </row>
    <row r="220" spans="3:5" x14ac:dyDescent="0.3">
      <c r="C220" s="9"/>
      <c r="D220" s="9"/>
      <c r="E220" s="9"/>
    </row>
    <row r="221" spans="3:5" x14ac:dyDescent="0.3">
      <c r="C221" s="9"/>
      <c r="D221" s="9"/>
      <c r="E221" s="9"/>
    </row>
    <row r="222" spans="3:5" x14ac:dyDescent="0.3">
      <c r="C222" s="9"/>
      <c r="D222" s="9"/>
      <c r="E222" s="9"/>
    </row>
    <row r="223" spans="3:5" x14ac:dyDescent="0.3">
      <c r="C223" s="9"/>
      <c r="D223" s="9"/>
      <c r="E223" s="9"/>
    </row>
    <row r="224" spans="3:5" x14ac:dyDescent="0.3">
      <c r="C224" s="9"/>
      <c r="D224" s="9"/>
      <c r="E224" s="9"/>
    </row>
    <row r="225" spans="3:5" x14ac:dyDescent="0.3">
      <c r="C225" s="9"/>
      <c r="D225" s="9"/>
      <c r="E225" s="9"/>
    </row>
    <row r="226" spans="3:5" x14ac:dyDescent="0.3">
      <c r="C226" s="9"/>
      <c r="D226" s="9"/>
      <c r="E226" s="9"/>
    </row>
    <row r="227" spans="3:5" x14ac:dyDescent="0.3">
      <c r="C227" s="9"/>
      <c r="D227" s="9"/>
      <c r="E227" s="9"/>
    </row>
    <row r="228" spans="3:5" x14ac:dyDescent="0.3">
      <c r="C228" s="9"/>
      <c r="D228" s="9"/>
      <c r="E228" s="9"/>
    </row>
    <row r="229" spans="3:5" x14ac:dyDescent="0.3">
      <c r="C229" s="9"/>
      <c r="D229" s="9"/>
      <c r="E229" s="9"/>
    </row>
    <row r="230" spans="3:5" x14ac:dyDescent="0.3">
      <c r="C230" s="9"/>
      <c r="D230" s="9"/>
      <c r="E230" s="9"/>
    </row>
    <row r="231" spans="3:5" x14ac:dyDescent="0.3">
      <c r="C231" s="9"/>
      <c r="D231" s="9"/>
      <c r="E231" s="9"/>
    </row>
    <row r="232" spans="3:5" x14ac:dyDescent="0.3">
      <c r="C232" s="9"/>
      <c r="D232" s="9"/>
      <c r="E232" s="9"/>
    </row>
    <row r="233" spans="3:5" x14ac:dyDescent="0.3">
      <c r="C233" s="9"/>
      <c r="D233" s="9"/>
      <c r="E233" s="9"/>
    </row>
    <row r="234" spans="3:5" x14ac:dyDescent="0.3">
      <c r="C234" s="9"/>
      <c r="D234" s="9"/>
      <c r="E234" s="9"/>
    </row>
    <row r="235" spans="3:5" x14ac:dyDescent="0.3">
      <c r="C235" s="9"/>
      <c r="D235" s="9"/>
      <c r="E235" s="9"/>
    </row>
    <row r="236" spans="3:5" x14ac:dyDescent="0.3">
      <c r="C236" s="9"/>
      <c r="D236" s="9"/>
      <c r="E236" s="9"/>
    </row>
    <row r="237" spans="3:5" x14ac:dyDescent="0.3">
      <c r="C237" s="9"/>
      <c r="D237" s="9"/>
      <c r="E237" s="9"/>
    </row>
    <row r="238" spans="3:5" x14ac:dyDescent="0.3">
      <c r="C238" s="9"/>
      <c r="D238" s="9"/>
      <c r="E238" s="9"/>
    </row>
    <row r="239" spans="3:5" x14ac:dyDescent="0.3">
      <c r="C239" s="9"/>
      <c r="D239" s="9"/>
      <c r="E239" s="9"/>
    </row>
    <row r="240" spans="3:5" x14ac:dyDescent="0.3">
      <c r="C240" s="9"/>
      <c r="D240" s="9"/>
      <c r="E240" s="9"/>
    </row>
    <row r="241" spans="3:5" x14ac:dyDescent="0.3">
      <c r="C241" s="9"/>
      <c r="D241" s="9"/>
      <c r="E241" s="9"/>
    </row>
    <row r="242" spans="3:5" x14ac:dyDescent="0.3">
      <c r="C242" s="9"/>
      <c r="D242" s="9"/>
      <c r="E242" s="9"/>
    </row>
    <row r="243" spans="3:5" x14ac:dyDescent="0.3">
      <c r="C243" s="9"/>
      <c r="D243" s="9"/>
      <c r="E243" s="9"/>
    </row>
    <row r="244" spans="3:5" x14ac:dyDescent="0.3">
      <c r="C244" s="9"/>
      <c r="D244" s="9"/>
      <c r="E244" s="9"/>
    </row>
    <row r="245" spans="3:5" x14ac:dyDescent="0.3">
      <c r="C245" s="9"/>
      <c r="D245" s="9"/>
      <c r="E245" s="9"/>
    </row>
    <row r="246" spans="3:5" x14ac:dyDescent="0.3">
      <c r="C246" s="9"/>
      <c r="D246" s="9"/>
      <c r="E246" s="9"/>
    </row>
    <row r="247" spans="3:5" x14ac:dyDescent="0.3">
      <c r="C247" s="9"/>
      <c r="D247" s="9"/>
      <c r="E247" s="9"/>
    </row>
    <row r="248" spans="3:5" x14ac:dyDescent="0.3">
      <c r="C248" s="9"/>
      <c r="D248" s="9"/>
      <c r="E248" s="9"/>
    </row>
    <row r="249" spans="3:5" x14ac:dyDescent="0.3">
      <c r="C249" s="9"/>
      <c r="D249" s="9"/>
      <c r="E249" s="9"/>
    </row>
    <row r="250" spans="3:5" x14ac:dyDescent="0.3">
      <c r="C250" s="9"/>
      <c r="D250" s="9"/>
      <c r="E250" s="9"/>
    </row>
    <row r="251" spans="3:5" x14ac:dyDescent="0.3">
      <c r="C251" s="9"/>
      <c r="D251" s="9"/>
      <c r="E251" s="9"/>
    </row>
    <row r="252" spans="3:5" x14ac:dyDescent="0.3">
      <c r="C252" s="9"/>
      <c r="D252" s="9"/>
      <c r="E252" s="9"/>
    </row>
    <row r="253" spans="3:5" x14ac:dyDescent="0.3">
      <c r="C253" s="9"/>
      <c r="D253" s="9"/>
      <c r="E253" s="9"/>
    </row>
    <row r="254" spans="3:5" x14ac:dyDescent="0.3">
      <c r="C254" s="9"/>
      <c r="D254" s="9"/>
      <c r="E254" s="9"/>
    </row>
    <row r="255" spans="3:5" x14ac:dyDescent="0.3">
      <c r="C255" s="9"/>
      <c r="D255" s="9"/>
      <c r="E255" s="9"/>
    </row>
    <row r="256" spans="3:5" x14ac:dyDescent="0.3">
      <c r="C256" s="9"/>
      <c r="D256" s="9"/>
      <c r="E256" s="9"/>
    </row>
    <row r="257" spans="3:5" x14ac:dyDescent="0.3">
      <c r="C257" s="9"/>
      <c r="D257" s="9"/>
      <c r="E257" s="9"/>
    </row>
    <row r="258" spans="3:5" x14ac:dyDescent="0.3">
      <c r="C258" s="9"/>
      <c r="D258" s="9"/>
      <c r="E258" s="9"/>
    </row>
    <row r="259" spans="3:5" x14ac:dyDescent="0.3">
      <c r="C259" s="9"/>
      <c r="D259" s="9"/>
      <c r="E259" s="9"/>
    </row>
    <row r="260" spans="3:5" x14ac:dyDescent="0.3">
      <c r="C260" s="9"/>
      <c r="D260" s="9"/>
      <c r="E260" s="9"/>
    </row>
    <row r="261" spans="3:5" x14ac:dyDescent="0.3">
      <c r="C261" s="9"/>
      <c r="D261" s="9"/>
      <c r="E261" s="9"/>
    </row>
    <row r="262" spans="3:5" x14ac:dyDescent="0.3">
      <c r="C262" s="9"/>
      <c r="D262" s="9"/>
      <c r="E262" s="9"/>
    </row>
    <row r="263" spans="3:5" x14ac:dyDescent="0.3">
      <c r="C263" s="9"/>
      <c r="D263" s="9"/>
      <c r="E263" s="9"/>
    </row>
    <row r="264" spans="3:5" x14ac:dyDescent="0.3">
      <c r="C264" s="9"/>
      <c r="D264" s="9"/>
      <c r="E264" s="9"/>
    </row>
    <row r="265" spans="3:5" x14ac:dyDescent="0.3">
      <c r="C265" s="9"/>
      <c r="D265" s="9"/>
      <c r="E265" s="9"/>
    </row>
    <row r="266" spans="3:5" x14ac:dyDescent="0.3">
      <c r="C266" s="9"/>
      <c r="D266" s="9"/>
      <c r="E266" s="9"/>
    </row>
    <row r="267" spans="3:5" x14ac:dyDescent="0.3">
      <c r="C267" s="9"/>
      <c r="D267" s="9"/>
      <c r="E267" s="9"/>
    </row>
    <row r="268" spans="3:5" x14ac:dyDescent="0.3">
      <c r="C268" s="9"/>
      <c r="D268" s="9"/>
      <c r="E268" s="9"/>
    </row>
    <row r="269" spans="3:5" x14ac:dyDescent="0.3">
      <c r="C269" s="9"/>
      <c r="D269" s="9"/>
      <c r="E269" s="9"/>
    </row>
    <row r="270" spans="3:5" x14ac:dyDescent="0.3">
      <c r="C270" s="9"/>
      <c r="D270" s="9"/>
      <c r="E270" s="9"/>
    </row>
    <row r="271" spans="3:5" x14ac:dyDescent="0.3">
      <c r="C271" s="9"/>
      <c r="D271" s="9"/>
      <c r="E271" s="9"/>
    </row>
    <row r="272" spans="3:5" x14ac:dyDescent="0.3">
      <c r="C272" s="9"/>
      <c r="D272" s="9"/>
      <c r="E272" s="9"/>
    </row>
    <row r="273" spans="3:5" x14ac:dyDescent="0.3">
      <c r="C273" s="9"/>
      <c r="D273" s="9"/>
      <c r="E273" s="9"/>
    </row>
    <row r="274" spans="3:5" x14ac:dyDescent="0.3">
      <c r="C274" s="9"/>
      <c r="D274" s="9"/>
      <c r="E274" s="9"/>
    </row>
    <row r="275" spans="3:5" x14ac:dyDescent="0.3">
      <c r="C275" s="9"/>
      <c r="D275" s="9"/>
      <c r="E275" s="9"/>
    </row>
    <row r="276" spans="3:5" x14ac:dyDescent="0.3">
      <c r="C276" s="9"/>
      <c r="D276" s="9"/>
      <c r="E276" s="9"/>
    </row>
    <row r="277" spans="3:5" x14ac:dyDescent="0.3">
      <c r="C277" s="9"/>
      <c r="D277" s="9"/>
      <c r="E277" s="9"/>
    </row>
    <row r="278" spans="3:5" x14ac:dyDescent="0.3">
      <c r="C278" s="9"/>
      <c r="D278" s="9"/>
      <c r="E278" s="9"/>
    </row>
    <row r="279" spans="3:5" x14ac:dyDescent="0.3">
      <c r="C279" s="9"/>
      <c r="D279" s="9"/>
      <c r="E279" s="9"/>
    </row>
    <row r="280" spans="3:5" x14ac:dyDescent="0.3">
      <c r="C280" s="9"/>
      <c r="D280" s="9"/>
      <c r="E280" s="9"/>
    </row>
    <row r="281" spans="3:5" x14ac:dyDescent="0.3">
      <c r="C281" s="9"/>
      <c r="D281" s="9"/>
      <c r="E281" s="9"/>
    </row>
    <row r="282" spans="3:5" x14ac:dyDescent="0.3">
      <c r="C282" s="9"/>
      <c r="D282" s="9"/>
      <c r="E282" s="9"/>
    </row>
    <row r="283" spans="3:5" x14ac:dyDescent="0.3">
      <c r="C283" s="9"/>
      <c r="D283" s="9"/>
      <c r="E283" s="9"/>
    </row>
    <row r="284" spans="3:5" x14ac:dyDescent="0.3">
      <c r="C284" s="9"/>
      <c r="D284" s="9"/>
      <c r="E284" s="9"/>
    </row>
    <row r="285" spans="3:5" x14ac:dyDescent="0.3">
      <c r="C285" s="9"/>
      <c r="D285" s="9"/>
      <c r="E285" s="9"/>
    </row>
    <row r="286" spans="3:5" x14ac:dyDescent="0.3">
      <c r="C286" s="9"/>
      <c r="D286" s="9"/>
      <c r="E286" s="9"/>
    </row>
    <row r="287" spans="3:5" x14ac:dyDescent="0.3">
      <c r="C287" s="9"/>
      <c r="D287" s="9"/>
      <c r="E287" s="9"/>
    </row>
    <row r="288" spans="3:5" x14ac:dyDescent="0.3">
      <c r="C288" s="9"/>
      <c r="D288" s="9"/>
      <c r="E288" s="9"/>
    </row>
    <row r="289" spans="3:5" x14ac:dyDescent="0.3">
      <c r="C289" s="9"/>
      <c r="D289" s="9"/>
      <c r="E289" s="9"/>
    </row>
    <row r="290" spans="3:5" x14ac:dyDescent="0.3">
      <c r="C290" s="9"/>
      <c r="D290" s="9"/>
      <c r="E290" s="9"/>
    </row>
    <row r="291" spans="3:5" x14ac:dyDescent="0.3">
      <c r="C291" s="9"/>
      <c r="D291" s="9"/>
      <c r="E291" s="9"/>
    </row>
    <row r="292" spans="3:5" x14ac:dyDescent="0.3">
      <c r="C292" s="9"/>
      <c r="D292" s="9"/>
      <c r="E292" s="9"/>
    </row>
    <row r="293" spans="3:5" x14ac:dyDescent="0.3">
      <c r="C293" s="9"/>
      <c r="D293" s="9"/>
      <c r="E293" s="9"/>
    </row>
    <row r="294" spans="3:5" x14ac:dyDescent="0.3">
      <c r="C294" s="9"/>
      <c r="D294" s="9"/>
      <c r="E294" s="9"/>
    </row>
    <row r="295" spans="3:5" x14ac:dyDescent="0.3">
      <c r="C295" s="9"/>
      <c r="D295" s="9"/>
      <c r="E295" s="9"/>
    </row>
    <row r="296" spans="3:5" x14ac:dyDescent="0.3">
      <c r="C296" s="9"/>
      <c r="D296" s="9"/>
      <c r="E296" s="9"/>
    </row>
    <row r="297" spans="3:5" x14ac:dyDescent="0.3">
      <c r="C297" s="9"/>
      <c r="D297" s="9"/>
      <c r="E297" s="9"/>
    </row>
    <row r="298" spans="3:5" x14ac:dyDescent="0.3">
      <c r="C298" s="9"/>
      <c r="D298" s="9"/>
      <c r="E298" s="9"/>
    </row>
    <row r="299" spans="3:5" x14ac:dyDescent="0.3">
      <c r="C299" s="9"/>
      <c r="D299" s="9"/>
      <c r="E299" s="9"/>
    </row>
    <row r="300" spans="3:5" x14ac:dyDescent="0.3">
      <c r="C300" s="9"/>
      <c r="D300" s="9"/>
      <c r="E300" s="9"/>
    </row>
    <row r="301" spans="3:5" x14ac:dyDescent="0.3">
      <c r="C301" s="9"/>
      <c r="D301" s="9"/>
      <c r="E301" s="9"/>
    </row>
    <row r="302" spans="3:5" x14ac:dyDescent="0.3">
      <c r="C302" s="9"/>
      <c r="D302" s="9"/>
      <c r="E302" s="9"/>
    </row>
    <row r="303" spans="3:5" x14ac:dyDescent="0.3">
      <c r="C303" s="9"/>
      <c r="D303" s="9"/>
      <c r="E303" s="9"/>
    </row>
    <row r="304" spans="3:5" x14ac:dyDescent="0.3">
      <c r="C304" s="9"/>
      <c r="D304" s="9"/>
      <c r="E304" s="9"/>
    </row>
    <row r="305" spans="3:5" x14ac:dyDescent="0.3">
      <c r="C305" s="9"/>
      <c r="D305" s="9"/>
      <c r="E305" s="9"/>
    </row>
    <row r="306" spans="3:5" x14ac:dyDescent="0.3">
      <c r="C306" s="9"/>
      <c r="D306" s="9"/>
      <c r="E306" s="9"/>
    </row>
    <row r="307" spans="3:5" x14ac:dyDescent="0.3">
      <c r="C307" s="9"/>
      <c r="D307" s="9"/>
      <c r="E307" s="9"/>
    </row>
    <row r="308" spans="3:5" x14ac:dyDescent="0.3">
      <c r="C308" s="9"/>
      <c r="D308" s="9"/>
      <c r="E308" s="9"/>
    </row>
    <row r="309" spans="3:5" x14ac:dyDescent="0.3">
      <c r="C309" s="9"/>
      <c r="D309" s="9"/>
      <c r="E309" s="9"/>
    </row>
    <row r="310" spans="3:5" x14ac:dyDescent="0.3">
      <c r="C310" s="9"/>
      <c r="D310" s="9"/>
      <c r="E310" s="9"/>
    </row>
    <row r="311" spans="3:5" x14ac:dyDescent="0.3">
      <c r="C311" s="9"/>
      <c r="D311" s="9"/>
      <c r="E311" s="9"/>
    </row>
    <row r="312" spans="3:5" x14ac:dyDescent="0.3">
      <c r="C312" s="9"/>
      <c r="D312" s="9"/>
      <c r="E312" s="9"/>
    </row>
    <row r="313" spans="3:5" x14ac:dyDescent="0.3">
      <c r="C313" s="9"/>
      <c r="D313" s="9"/>
      <c r="E313" s="9"/>
    </row>
    <row r="314" spans="3:5" x14ac:dyDescent="0.3">
      <c r="C314" s="9"/>
      <c r="D314" s="9"/>
      <c r="E314" s="9"/>
    </row>
    <row r="315" spans="3:5" x14ac:dyDescent="0.3">
      <c r="C315" s="9"/>
      <c r="D315" s="9"/>
      <c r="E315" s="9"/>
    </row>
    <row r="316" spans="3:5" x14ac:dyDescent="0.3">
      <c r="C316" s="9"/>
      <c r="D316" s="9"/>
      <c r="E316" s="9"/>
    </row>
    <row r="317" spans="3:5" x14ac:dyDescent="0.3">
      <c r="C317" s="9"/>
      <c r="D317" s="9"/>
      <c r="E317" s="9"/>
    </row>
    <row r="318" spans="3:5" x14ac:dyDescent="0.3">
      <c r="C318" s="9"/>
      <c r="D318" s="9"/>
      <c r="E318" s="9"/>
    </row>
    <row r="319" spans="3:5" x14ac:dyDescent="0.3">
      <c r="C319" s="9"/>
      <c r="D319" s="9"/>
      <c r="E319" s="9"/>
    </row>
    <row r="320" spans="3:5" x14ac:dyDescent="0.3">
      <c r="C320" s="9"/>
      <c r="D320" s="9"/>
      <c r="E320" s="9"/>
    </row>
    <row r="321" spans="3:5" x14ac:dyDescent="0.3">
      <c r="C321" s="9"/>
      <c r="D321" s="9"/>
      <c r="E321" s="9"/>
    </row>
    <row r="322" spans="3:5" x14ac:dyDescent="0.3">
      <c r="C322" s="9"/>
      <c r="D322" s="9"/>
      <c r="E322" s="9"/>
    </row>
    <row r="323" spans="3:5" x14ac:dyDescent="0.3">
      <c r="C323" s="9"/>
      <c r="D323" s="9"/>
      <c r="E323" s="9"/>
    </row>
    <row r="324" spans="3:5" x14ac:dyDescent="0.3">
      <c r="C324" s="9"/>
      <c r="D324" s="9"/>
      <c r="E324" s="9"/>
    </row>
    <row r="325" spans="3:5" x14ac:dyDescent="0.3">
      <c r="C325" s="9"/>
      <c r="D325" s="9"/>
      <c r="E325" s="9"/>
    </row>
    <row r="326" spans="3:5" x14ac:dyDescent="0.3">
      <c r="C326" s="9"/>
      <c r="D326" s="9"/>
      <c r="E326" s="9"/>
    </row>
    <row r="327" spans="3:5" x14ac:dyDescent="0.3">
      <c r="C327" s="9"/>
      <c r="D327" s="9"/>
      <c r="E327" s="9"/>
    </row>
    <row r="328" spans="3:5" x14ac:dyDescent="0.3">
      <c r="C328" s="9"/>
      <c r="D328" s="9"/>
      <c r="E328" s="9"/>
    </row>
    <row r="329" spans="3:5" x14ac:dyDescent="0.3">
      <c r="C329" s="9"/>
      <c r="D329" s="9"/>
      <c r="E329" s="9"/>
    </row>
    <row r="330" spans="3:5" x14ac:dyDescent="0.3">
      <c r="C330" s="9"/>
      <c r="D330" s="9"/>
      <c r="E330" s="9"/>
    </row>
    <row r="331" spans="3:5" x14ac:dyDescent="0.3">
      <c r="C331" s="9"/>
      <c r="D331" s="9"/>
      <c r="E331" s="9"/>
    </row>
    <row r="332" spans="3:5" x14ac:dyDescent="0.3">
      <c r="C332" s="9"/>
      <c r="D332" s="9"/>
      <c r="E332" s="9"/>
    </row>
    <row r="333" spans="3:5" x14ac:dyDescent="0.3">
      <c r="C333" s="9"/>
      <c r="D333" s="9"/>
      <c r="E333" s="9"/>
    </row>
    <row r="334" spans="3:5" x14ac:dyDescent="0.3">
      <c r="C334" s="9"/>
      <c r="D334" s="9"/>
      <c r="E334" s="9"/>
    </row>
    <row r="335" spans="3:5" x14ac:dyDescent="0.3">
      <c r="C335" s="9"/>
      <c r="D335" s="9"/>
      <c r="E335" s="9"/>
    </row>
    <row r="336" spans="3:5" x14ac:dyDescent="0.3">
      <c r="C336" s="9"/>
      <c r="D336" s="9"/>
      <c r="E336" s="9"/>
    </row>
    <row r="337" spans="3:5" x14ac:dyDescent="0.3">
      <c r="C337" s="9"/>
      <c r="D337" s="9"/>
      <c r="E337" s="9"/>
    </row>
    <row r="338" spans="3:5" x14ac:dyDescent="0.3">
      <c r="C338" s="9"/>
      <c r="D338" s="9"/>
      <c r="E338" s="9"/>
    </row>
    <row r="339" spans="3:5" x14ac:dyDescent="0.3">
      <c r="C339" s="9"/>
      <c r="D339" s="9"/>
      <c r="E339" s="9"/>
    </row>
    <row r="340" spans="3:5" x14ac:dyDescent="0.3">
      <c r="C340" s="9"/>
      <c r="D340" s="9"/>
      <c r="E340" s="9"/>
    </row>
    <row r="341" spans="3:5" x14ac:dyDescent="0.3">
      <c r="C341" s="9"/>
      <c r="D341" s="9"/>
      <c r="E341" s="9"/>
    </row>
    <row r="342" spans="3:5" x14ac:dyDescent="0.3">
      <c r="C342" s="9"/>
      <c r="D342" s="9"/>
      <c r="E342" s="9"/>
    </row>
    <row r="343" spans="3:5" x14ac:dyDescent="0.3">
      <c r="C343" s="9"/>
      <c r="D343" s="9"/>
      <c r="E343" s="9"/>
    </row>
    <row r="344" spans="3:5" x14ac:dyDescent="0.3">
      <c r="C344" s="9"/>
      <c r="D344" s="9"/>
      <c r="E344" s="9"/>
    </row>
    <row r="345" spans="3:5" x14ac:dyDescent="0.3">
      <c r="C345" s="9"/>
      <c r="D345" s="9"/>
      <c r="E345" s="9"/>
    </row>
    <row r="346" spans="3:5" x14ac:dyDescent="0.3">
      <c r="C346" s="9"/>
      <c r="D346" s="9"/>
      <c r="E346" s="9"/>
    </row>
    <row r="347" spans="3:5" x14ac:dyDescent="0.3">
      <c r="C347" s="9"/>
      <c r="D347" s="9"/>
      <c r="E347" s="9"/>
    </row>
    <row r="348" spans="3:5" x14ac:dyDescent="0.3">
      <c r="C348" s="9"/>
      <c r="D348" s="9"/>
      <c r="E348" s="9"/>
    </row>
    <row r="349" spans="3:5" x14ac:dyDescent="0.3">
      <c r="C349" s="9"/>
      <c r="D349" s="9"/>
      <c r="E349" s="9"/>
    </row>
    <row r="350" spans="3:5" x14ac:dyDescent="0.3">
      <c r="C350" s="9"/>
      <c r="D350" s="9"/>
      <c r="E350" s="9"/>
    </row>
    <row r="351" spans="3:5" x14ac:dyDescent="0.3">
      <c r="C351" s="9"/>
      <c r="D351" s="9"/>
      <c r="E351" s="9"/>
    </row>
    <row r="352" spans="3:5" x14ac:dyDescent="0.3">
      <c r="C352" s="9"/>
      <c r="D352" s="9"/>
      <c r="E352" s="9"/>
    </row>
    <row r="353" spans="3:5" x14ac:dyDescent="0.3">
      <c r="C353" s="9"/>
      <c r="D353" s="9"/>
      <c r="E353" s="9"/>
    </row>
    <row r="354" spans="3:5" x14ac:dyDescent="0.3">
      <c r="C354" s="9"/>
      <c r="D354" s="9"/>
      <c r="E354" s="9"/>
    </row>
    <row r="355" spans="3:5" x14ac:dyDescent="0.3">
      <c r="C355" s="9"/>
      <c r="D355" s="9"/>
      <c r="E355" s="9"/>
    </row>
    <row r="356" spans="3:5" x14ac:dyDescent="0.3">
      <c r="C356" s="9"/>
      <c r="D356" s="9"/>
      <c r="E356" s="9"/>
    </row>
    <row r="357" spans="3:5" x14ac:dyDescent="0.3">
      <c r="C357" s="9"/>
      <c r="D357" s="9"/>
      <c r="E357" s="9"/>
    </row>
    <row r="358" spans="3:5" x14ac:dyDescent="0.3">
      <c r="C358" s="9"/>
      <c r="D358" s="9"/>
      <c r="E358" s="9"/>
    </row>
    <row r="359" spans="3:5" x14ac:dyDescent="0.3">
      <c r="C359" s="9"/>
      <c r="D359" s="9"/>
      <c r="E359" s="9"/>
    </row>
    <row r="360" spans="3:5" x14ac:dyDescent="0.3">
      <c r="C360" s="9"/>
      <c r="D360" s="9"/>
      <c r="E360" s="9"/>
    </row>
    <row r="361" spans="3:5" x14ac:dyDescent="0.3">
      <c r="C361" s="9"/>
      <c r="D361" s="9"/>
      <c r="E361" s="9"/>
    </row>
    <row r="362" spans="3:5" x14ac:dyDescent="0.3">
      <c r="C362" s="9"/>
      <c r="D362" s="9"/>
      <c r="E362" s="9"/>
    </row>
    <row r="363" spans="3:5" x14ac:dyDescent="0.3">
      <c r="C363" s="9"/>
      <c r="D363" s="9"/>
      <c r="E363" s="9"/>
    </row>
    <row r="364" spans="3:5" x14ac:dyDescent="0.3">
      <c r="C364" s="9"/>
      <c r="D364" s="9"/>
      <c r="E364" s="9"/>
    </row>
    <row r="365" spans="3:5" x14ac:dyDescent="0.3">
      <c r="C365" s="9"/>
      <c r="D365" s="9"/>
      <c r="E365" s="9"/>
    </row>
    <row r="366" spans="3:5" x14ac:dyDescent="0.3">
      <c r="C366" s="9"/>
      <c r="D366" s="9"/>
      <c r="E366" s="9"/>
    </row>
    <row r="367" spans="3:5" x14ac:dyDescent="0.3">
      <c r="C367" s="9"/>
      <c r="D367" s="9"/>
      <c r="E367" s="9"/>
    </row>
    <row r="368" spans="3:5" x14ac:dyDescent="0.3">
      <c r="C368" s="9"/>
      <c r="D368" s="9"/>
      <c r="E368" s="9"/>
    </row>
    <row r="369" spans="3:5" x14ac:dyDescent="0.3">
      <c r="C369" s="9"/>
      <c r="D369" s="9"/>
      <c r="E369" s="9"/>
    </row>
    <row r="370" spans="3:5" x14ac:dyDescent="0.3">
      <c r="C370" s="9"/>
      <c r="D370" s="9"/>
      <c r="E370" s="9"/>
    </row>
    <row r="371" spans="3:5" x14ac:dyDescent="0.3">
      <c r="C371" s="9"/>
      <c r="D371" s="9"/>
      <c r="E371" s="9"/>
    </row>
    <row r="372" spans="3:5" x14ac:dyDescent="0.3">
      <c r="C372" s="9"/>
      <c r="D372" s="9"/>
      <c r="E372" s="9"/>
    </row>
    <row r="373" spans="3:5" x14ac:dyDescent="0.3">
      <c r="C373" s="9"/>
      <c r="D373" s="9"/>
      <c r="E373" s="9"/>
    </row>
    <row r="374" spans="3:5" x14ac:dyDescent="0.3">
      <c r="C374" s="9"/>
      <c r="D374" s="9"/>
      <c r="E374" s="9"/>
    </row>
    <row r="375" spans="3:5" x14ac:dyDescent="0.3">
      <c r="C375" s="9"/>
      <c r="D375" s="9"/>
      <c r="E375" s="9"/>
    </row>
    <row r="376" spans="3:5" x14ac:dyDescent="0.3">
      <c r="C376" s="9"/>
      <c r="D376" s="9"/>
      <c r="E376" s="9"/>
    </row>
    <row r="377" spans="3:5" x14ac:dyDescent="0.3">
      <c r="C377" s="9"/>
      <c r="D377" s="9"/>
      <c r="E377" s="9"/>
    </row>
    <row r="378" spans="3:5" x14ac:dyDescent="0.3">
      <c r="C378" s="9"/>
      <c r="D378" s="9"/>
      <c r="E378" s="9"/>
    </row>
    <row r="379" spans="3:5" x14ac:dyDescent="0.3">
      <c r="C379" s="9"/>
      <c r="D379" s="9"/>
      <c r="E379" s="9"/>
    </row>
    <row r="380" spans="3:5" x14ac:dyDescent="0.3">
      <c r="C380" s="9"/>
      <c r="D380" s="9"/>
      <c r="E380" s="9"/>
    </row>
    <row r="381" spans="3:5" x14ac:dyDescent="0.3">
      <c r="C381" s="9"/>
      <c r="D381" s="9"/>
      <c r="E381" s="9"/>
    </row>
    <row r="382" spans="3:5" x14ac:dyDescent="0.3">
      <c r="C382" s="9"/>
      <c r="D382" s="9"/>
      <c r="E382" s="9"/>
    </row>
    <row r="383" spans="3:5" x14ac:dyDescent="0.3">
      <c r="C383" s="9"/>
      <c r="D383" s="9"/>
      <c r="E383" s="9"/>
    </row>
    <row r="384" spans="3:5" x14ac:dyDescent="0.3">
      <c r="C384" s="9"/>
      <c r="D384" s="9"/>
      <c r="E384" s="9"/>
    </row>
    <row r="385" spans="3:5" x14ac:dyDescent="0.3">
      <c r="C385" s="9"/>
      <c r="D385" s="9"/>
      <c r="E385" s="9"/>
    </row>
    <row r="386" spans="3:5" x14ac:dyDescent="0.3">
      <c r="C386" s="9"/>
      <c r="D386" s="9"/>
      <c r="E386" s="9"/>
    </row>
    <row r="387" spans="3:5" x14ac:dyDescent="0.3">
      <c r="C387" s="9"/>
      <c r="D387" s="9"/>
      <c r="E387" s="9"/>
    </row>
    <row r="388" spans="3:5" x14ac:dyDescent="0.3">
      <c r="C388" s="9"/>
      <c r="D388" s="9"/>
      <c r="E388" s="9"/>
    </row>
    <row r="389" spans="3:5" x14ac:dyDescent="0.3">
      <c r="C389" s="9"/>
      <c r="D389" s="9"/>
      <c r="E389" s="9"/>
    </row>
    <row r="390" spans="3:5" x14ac:dyDescent="0.3">
      <c r="C390" s="9"/>
      <c r="D390" s="9"/>
      <c r="E390" s="9"/>
    </row>
    <row r="391" spans="3:5" x14ac:dyDescent="0.3">
      <c r="C391" s="9"/>
      <c r="D391" s="9"/>
      <c r="E391" s="9"/>
    </row>
    <row r="392" spans="3:5" x14ac:dyDescent="0.3">
      <c r="C392" s="9"/>
      <c r="D392" s="9"/>
      <c r="E392" s="9"/>
    </row>
    <row r="393" spans="3:5" x14ac:dyDescent="0.3">
      <c r="C393" s="9"/>
      <c r="D393" s="9"/>
      <c r="E393" s="9"/>
    </row>
    <row r="394" spans="3:5" x14ac:dyDescent="0.3">
      <c r="C394" s="9"/>
      <c r="D394" s="9"/>
      <c r="E394" s="9"/>
    </row>
    <row r="395" spans="3:5" x14ac:dyDescent="0.3">
      <c r="C395" s="9"/>
      <c r="D395" s="9"/>
      <c r="E395" s="9"/>
    </row>
    <row r="396" spans="3:5" x14ac:dyDescent="0.3">
      <c r="C396" s="9"/>
      <c r="D396" s="9"/>
      <c r="E396" s="9"/>
    </row>
    <row r="397" spans="3:5" x14ac:dyDescent="0.3">
      <c r="C397" s="9"/>
      <c r="D397" s="9"/>
      <c r="E397" s="9"/>
    </row>
    <row r="398" spans="3:5" x14ac:dyDescent="0.3">
      <c r="C398" s="9"/>
      <c r="D398" s="9"/>
      <c r="E398" s="9"/>
    </row>
    <row r="399" spans="3:5" x14ac:dyDescent="0.3">
      <c r="C399" s="9"/>
      <c r="D399" s="9"/>
      <c r="E399" s="9"/>
    </row>
    <row r="400" spans="3:5" x14ac:dyDescent="0.3">
      <c r="C400" s="9"/>
      <c r="D400" s="9"/>
      <c r="E400" s="9"/>
    </row>
    <row r="401" spans="3:5" x14ac:dyDescent="0.3">
      <c r="C401" s="9"/>
      <c r="D401" s="9"/>
      <c r="E401" s="9"/>
    </row>
    <row r="402" spans="3:5" x14ac:dyDescent="0.3">
      <c r="C402" s="9"/>
      <c r="D402" s="9"/>
      <c r="E402" s="9"/>
    </row>
    <row r="403" spans="3:5" x14ac:dyDescent="0.3">
      <c r="C403" s="9"/>
      <c r="D403" s="9"/>
      <c r="E403" s="9"/>
    </row>
    <row r="404" spans="3:5" x14ac:dyDescent="0.3">
      <c r="C404" s="9"/>
      <c r="D404" s="9"/>
      <c r="E404" s="9"/>
    </row>
    <row r="405" spans="3:5" x14ac:dyDescent="0.3">
      <c r="C405" s="9"/>
      <c r="D405" s="9"/>
      <c r="E405" s="9"/>
    </row>
    <row r="406" spans="3:5" x14ac:dyDescent="0.3">
      <c r="C406" s="9"/>
      <c r="D406" s="9"/>
      <c r="E406" s="9"/>
    </row>
    <row r="407" spans="3:5" x14ac:dyDescent="0.3">
      <c r="C407" s="9"/>
      <c r="D407" s="9"/>
      <c r="E407" s="9"/>
    </row>
    <row r="408" spans="3:5" x14ac:dyDescent="0.3">
      <c r="C408" s="9"/>
      <c r="D408" s="9"/>
      <c r="E408" s="9"/>
    </row>
    <row r="409" spans="3:5" x14ac:dyDescent="0.3">
      <c r="C409" s="9"/>
      <c r="D409" s="9"/>
      <c r="E409" s="9"/>
    </row>
    <row r="410" spans="3:5" x14ac:dyDescent="0.3">
      <c r="C410" s="9"/>
      <c r="D410" s="9"/>
      <c r="E410" s="9"/>
    </row>
    <row r="411" spans="3:5" x14ac:dyDescent="0.3">
      <c r="C411" s="9"/>
      <c r="D411" s="9"/>
      <c r="E411" s="9"/>
    </row>
    <row r="412" spans="3:5" x14ac:dyDescent="0.3">
      <c r="C412" s="9"/>
      <c r="D412" s="9"/>
      <c r="E412" s="9"/>
    </row>
    <row r="413" spans="3:5" x14ac:dyDescent="0.3">
      <c r="C413" s="9"/>
      <c r="D413" s="9"/>
      <c r="E413" s="9"/>
    </row>
    <row r="414" spans="3:5" x14ac:dyDescent="0.3">
      <c r="C414" s="9"/>
      <c r="D414" s="9"/>
      <c r="E414" s="9"/>
    </row>
    <row r="415" spans="3:5" x14ac:dyDescent="0.3">
      <c r="C415" s="9"/>
      <c r="D415" s="9"/>
      <c r="E415" s="9"/>
    </row>
    <row r="416" spans="3:5" x14ac:dyDescent="0.3">
      <c r="C416" s="9"/>
      <c r="D416" s="9"/>
      <c r="E416" s="9"/>
    </row>
    <row r="417" spans="3:5" x14ac:dyDescent="0.3">
      <c r="C417" s="9"/>
      <c r="D417" s="9"/>
      <c r="E417" s="9"/>
    </row>
    <row r="418" spans="3:5" x14ac:dyDescent="0.3">
      <c r="C418" s="9"/>
      <c r="D418" s="9"/>
      <c r="E418" s="9"/>
    </row>
    <row r="419" spans="3:5" x14ac:dyDescent="0.3">
      <c r="C419" s="9"/>
      <c r="D419" s="9"/>
      <c r="E419" s="9"/>
    </row>
    <row r="420" spans="3:5" x14ac:dyDescent="0.3">
      <c r="C420" s="9"/>
      <c r="D420" s="9"/>
      <c r="E420" s="9"/>
    </row>
    <row r="421" spans="3:5" x14ac:dyDescent="0.3">
      <c r="C421" s="9"/>
      <c r="D421" s="9"/>
      <c r="E421" s="9"/>
    </row>
    <row r="422" spans="3:5" x14ac:dyDescent="0.3">
      <c r="C422" s="9"/>
      <c r="D422" s="9"/>
      <c r="E422" s="9"/>
    </row>
    <row r="423" spans="3:5" x14ac:dyDescent="0.3">
      <c r="C423" s="9"/>
      <c r="D423" s="9"/>
      <c r="E423" s="9"/>
    </row>
    <row r="424" spans="3:5" x14ac:dyDescent="0.3">
      <c r="C424" s="9"/>
      <c r="D424" s="9"/>
      <c r="E424" s="9"/>
    </row>
    <row r="425" spans="3:5" x14ac:dyDescent="0.3">
      <c r="C425" s="9"/>
      <c r="D425" s="9"/>
      <c r="E425" s="9"/>
    </row>
    <row r="426" spans="3:5" x14ac:dyDescent="0.3">
      <c r="C426" s="9"/>
      <c r="D426" s="9"/>
      <c r="E426" s="9"/>
    </row>
    <row r="427" spans="3:5" x14ac:dyDescent="0.3">
      <c r="C427" s="9"/>
      <c r="D427" s="9"/>
      <c r="E427" s="9"/>
    </row>
    <row r="428" spans="3:5" x14ac:dyDescent="0.3">
      <c r="C428" s="9"/>
      <c r="D428" s="9"/>
      <c r="E428" s="9"/>
    </row>
    <row r="429" spans="3:5" x14ac:dyDescent="0.3">
      <c r="C429" s="9"/>
      <c r="D429" s="9"/>
      <c r="E429" s="9"/>
    </row>
    <row r="430" spans="3:5" x14ac:dyDescent="0.3">
      <c r="C430" s="9"/>
      <c r="D430" s="9"/>
      <c r="E430" s="9"/>
    </row>
    <row r="431" spans="3:5" x14ac:dyDescent="0.3">
      <c r="C431" s="9"/>
      <c r="D431" s="9"/>
      <c r="E431" s="9"/>
    </row>
    <row r="432" spans="3:5" x14ac:dyDescent="0.3">
      <c r="C432" s="9"/>
      <c r="D432" s="9"/>
      <c r="E432" s="9"/>
    </row>
    <row r="433" spans="3:5" x14ac:dyDescent="0.3">
      <c r="C433" s="9"/>
      <c r="D433" s="9"/>
      <c r="E433" s="9"/>
    </row>
    <row r="434" spans="3:5" x14ac:dyDescent="0.3">
      <c r="C434" s="9"/>
      <c r="D434" s="9"/>
      <c r="E434" s="9"/>
    </row>
    <row r="435" spans="3:5" x14ac:dyDescent="0.3">
      <c r="C435" s="9"/>
      <c r="D435" s="9"/>
      <c r="E435" s="9"/>
    </row>
    <row r="436" spans="3:5" x14ac:dyDescent="0.3">
      <c r="C436" s="9"/>
      <c r="D436" s="9"/>
      <c r="E436" s="9"/>
    </row>
    <row r="437" spans="3:5" x14ac:dyDescent="0.3">
      <c r="C437" s="9"/>
      <c r="D437" s="9"/>
      <c r="E437" s="9"/>
    </row>
    <row r="438" spans="3:5" x14ac:dyDescent="0.3">
      <c r="C438" s="9"/>
      <c r="D438" s="9"/>
      <c r="E438" s="9"/>
    </row>
    <row r="439" spans="3:5" x14ac:dyDescent="0.3">
      <c r="C439" s="9"/>
      <c r="D439" s="9"/>
      <c r="E439" s="9"/>
    </row>
    <row r="440" spans="3:5" x14ac:dyDescent="0.3">
      <c r="C440" s="9"/>
      <c r="D440" s="9"/>
      <c r="E440" s="9"/>
    </row>
    <row r="441" spans="3:5" x14ac:dyDescent="0.3">
      <c r="C441" s="9"/>
      <c r="D441" s="9"/>
      <c r="E441" s="9"/>
    </row>
    <row r="442" spans="3:5" x14ac:dyDescent="0.3">
      <c r="C442" s="9"/>
      <c r="D442" s="9"/>
      <c r="E442" s="9"/>
    </row>
    <row r="443" spans="3:5" x14ac:dyDescent="0.3">
      <c r="C443" s="9"/>
      <c r="D443" s="9"/>
      <c r="E443" s="9"/>
    </row>
    <row r="444" spans="3:5" x14ac:dyDescent="0.3">
      <c r="C444" s="9"/>
      <c r="D444" s="9"/>
      <c r="E444" s="9"/>
    </row>
    <row r="445" spans="3:5" x14ac:dyDescent="0.3">
      <c r="C445" s="9"/>
      <c r="D445" s="9"/>
      <c r="E445" s="9"/>
    </row>
    <row r="446" spans="3:5" x14ac:dyDescent="0.3">
      <c r="C446" s="9"/>
      <c r="D446" s="9"/>
      <c r="E446" s="9"/>
    </row>
    <row r="447" spans="3:5" x14ac:dyDescent="0.3">
      <c r="C447" s="9"/>
      <c r="D447" s="9"/>
      <c r="E447" s="9"/>
    </row>
    <row r="448" spans="3:5" x14ac:dyDescent="0.3">
      <c r="C448" s="9"/>
      <c r="D448" s="9"/>
      <c r="E448" s="9"/>
    </row>
    <row r="449" spans="3:5" x14ac:dyDescent="0.3">
      <c r="C449" s="9"/>
      <c r="D449" s="9"/>
      <c r="E449" s="9"/>
    </row>
    <row r="450" spans="3:5" x14ac:dyDescent="0.3">
      <c r="C450" s="9"/>
      <c r="D450" s="9"/>
      <c r="E450" s="9"/>
    </row>
    <row r="451" spans="3:5" x14ac:dyDescent="0.3">
      <c r="C451" s="9"/>
      <c r="D451" s="9"/>
      <c r="E451" s="9"/>
    </row>
    <row r="452" spans="3:5" x14ac:dyDescent="0.3">
      <c r="C452" s="9"/>
      <c r="D452" s="9"/>
      <c r="E452" s="9"/>
    </row>
    <row r="453" spans="3:5" x14ac:dyDescent="0.3">
      <c r="C453" s="9"/>
      <c r="D453" s="9"/>
      <c r="E453" s="9"/>
    </row>
    <row r="454" spans="3:5" x14ac:dyDescent="0.3">
      <c r="C454" s="9"/>
      <c r="D454" s="9"/>
      <c r="E454" s="9"/>
    </row>
    <row r="455" spans="3:5" x14ac:dyDescent="0.3">
      <c r="C455" s="9"/>
      <c r="D455" s="9"/>
      <c r="E455" s="9"/>
    </row>
    <row r="456" spans="3:5" x14ac:dyDescent="0.3">
      <c r="C456" s="9"/>
      <c r="D456" s="9"/>
      <c r="E456" s="9"/>
    </row>
    <row r="457" spans="3:5" x14ac:dyDescent="0.3">
      <c r="C457" s="9"/>
      <c r="D457" s="9"/>
      <c r="E457" s="9"/>
    </row>
    <row r="458" spans="3:5" x14ac:dyDescent="0.3">
      <c r="C458" s="9"/>
      <c r="D458" s="9"/>
      <c r="E458" s="9"/>
    </row>
    <row r="459" spans="3:5" x14ac:dyDescent="0.3">
      <c r="C459" s="9"/>
      <c r="D459" s="9"/>
      <c r="E459" s="9"/>
    </row>
    <row r="460" spans="3:5" x14ac:dyDescent="0.3">
      <c r="C460" s="9"/>
      <c r="D460" s="9"/>
      <c r="E460" s="9"/>
    </row>
    <row r="461" spans="3:5" x14ac:dyDescent="0.3">
      <c r="C461" s="9"/>
      <c r="D461" s="9"/>
      <c r="E461" s="9"/>
    </row>
    <row r="462" spans="3:5" x14ac:dyDescent="0.3">
      <c r="C462" s="9"/>
      <c r="D462" s="9"/>
      <c r="E462" s="9"/>
    </row>
    <row r="463" spans="3:5" x14ac:dyDescent="0.3">
      <c r="C463" s="9"/>
      <c r="D463" s="9"/>
      <c r="E463" s="9"/>
    </row>
    <row r="464" spans="3:5" x14ac:dyDescent="0.3">
      <c r="C464" s="9"/>
      <c r="D464" s="9"/>
      <c r="E464" s="9"/>
    </row>
    <row r="465" spans="3:5" x14ac:dyDescent="0.3">
      <c r="C465" s="9"/>
      <c r="D465" s="9"/>
      <c r="E465" s="9"/>
    </row>
    <row r="466" spans="3:5" x14ac:dyDescent="0.3">
      <c r="C466" s="9"/>
      <c r="D466" s="9"/>
      <c r="E466" s="9"/>
    </row>
    <row r="467" spans="3:5" x14ac:dyDescent="0.3">
      <c r="C467" s="9"/>
      <c r="D467" s="9"/>
      <c r="E467" s="9"/>
    </row>
    <row r="468" spans="3:5" x14ac:dyDescent="0.3">
      <c r="C468" s="9"/>
      <c r="D468" s="9"/>
      <c r="E468" s="9"/>
    </row>
    <row r="469" spans="3:5" x14ac:dyDescent="0.3">
      <c r="C469" s="9"/>
      <c r="D469" s="9"/>
      <c r="E469" s="9"/>
    </row>
    <row r="470" spans="3:5" x14ac:dyDescent="0.3">
      <c r="C470" s="9"/>
      <c r="D470" s="9"/>
      <c r="E470" s="9"/>
    </row>
    <row r="471" spans="3:5" x14ac:dyDescent="0.3">
      <c r="C471" s="9"/>
      <c r="D471" s="9"/>
      <c r="E471" s="9"/>
    </row>
    <row r="472" spans="3:5" x14ac:dyDescent="0.3">
      <c r="C472" s="9"/>
      <c r="D472" s="9"/>
      <c r="E472" s="9"/>
    </row>
    <row r="473" spans="3:5" x14ac:dyDescent="0.3">
      <c r="C473" s="9"/>
      <c r="D473" s="9"/>
      <c r="E473" s="9"/>
    </row>
    <row r="474" spans="3:5" x14ac:dyDescent="0.3">
      <c r="C474" s="9"/>
      <c r="D474" s="9"/>
      <c r="E474" s="9"/>
    </row>
    <row r="475" spans="3:5" x14ac:dyDescent="0.3">
      <c r="C475" s="9"/>
      <c r="D475" s="9"/>
      <c r="E475" s="9"/>
    </row>
    <row r="476" spans="3:5" x14ac:dyDescent="0.3">
      <c r="C476" s="9"/>
      <c r="D476" s="9"/>
      <c r="E476" s="9"/>
    </row>
    <row r="477" spans="3:5" x14ac:dyDescent="0.3">
      <c r="C477" s="9"/>
      <c r="D477" s="9"/>
      <c r="E477" s="9"/>
    </row>
    <row r="478" spans="3:5" x14ac:dyDescent="0.3">
      <c r="C478" s="9"/>
      <c r="D478" s="9"/>
      <c r="E478" s="9"/>
    </row>
    <row r="479" spans="3:5" x14ac:dyDescent="0.3">
      <c r="C479" s="9"/>
      <c r="D479" s="9"/>
      <c r="E479" s="9"/>
    </row>
    <row r="480" spans="3:5" x14ac:dyDescent="0.3">
      <c r="C480" s="9"/>
      <c r="D480" s="9"/>
      <c r="E480" s="9"/>
    </row>
    <row r="481" spans="3:5" x14ac:dyDescent="0.3">
      <c r="C481" s="9"/>
      <c r="D481" s="9"/>
      <c r="E481" s="9"/>
    </row>
    <row r="482" spans="3:5" x14ac:dyDescent="0.3">
      <c r="C482" s="9"/>
      <c r="D482" s="9"/>
      <c r="E482" s="9"/>
    </row>
    <row r="483" spans="3:5" x14ac:dyDescent="0.3">
      <c r="C483" s="9"/>
      <c r="D483" s="9"/>
      <c r="E483" s="9"/>
    </row>
    <row r="484" spans="3:5" x14ac:dyDescent="0.3">
      <c r="C484" s="9"/>
      <c r="D484" s="9"/>
      <c r="E484" s="9"/>
    </row>
    <row r="485" spans="3:5" x14ac:dyDescent="0.3">
      <c r="C485" s="9"/>
      <c r="D485" s="9"/>
      <c r="E485" s="9"/>
    </row>
    <row r="486" spans="3:5" x14ac:dyDescent="0.3">
      <c r="C486" s="9"/>
      <c r="D486" s="9"/>
      <c r="E486" s="9"/>
    </row>
    <row r="487" spans="3:5" x14ac:dyDescent="0.3">
      <c r="C487" s="9"/>
      <c r="D487" s="9"/>
      <c r="E487" s="9"/>
    </row>
    <row r="488" spans="3:5" x14ac:dyDescent="0.3">
      <c r="C488" s="9"/>
      <c r="D488" s="9"/>
      <c r="E488" s="9"/>
    </row>
    <row r="489" spans="3:5" x14ac:dyDescent="0.3">
      <c r="C489" s="9"/>
      <c r="D489" s="9"/>
      <c r="E489" s="9"/>
    </row>
    <row r="490" spans="3:5" x14ac:dyDescent="0.3">
      <c r="C490" s="9"/>
      <c r="D490" s="9"/>
      <c r="E490" s="9"/>
    </row>
    <row r="491" spans="3:5" x14ac:dyDescent="0.3">
      <c r="C491" s="9"/>
      <c r="D491" s="9"/>
      <c r="E491" s="9"/>
    </row>
    <row r="492" spans="3:5" x14ac:dyDescent="0.3">
      <c r="C492" s="9"/>
      <c r="D492" s="9"/>
      <c r="E492" s="9"/>
    </row>
    <row r="493" spans="3:5" x14ac:dyDescent="0.3">
      <c r="C493" s="9"/>
      <c r="D493" s="9"/>
      <c r="E493" s="9"/>
    </row>
    <row r="494" spans="3:5" x14ac:dyDescent="0.3">
      <c r="C494" s="9"/>
      <c r="D494" s="9"/>
      <c r="E494" s="9"/>
    </row>
    <row r="495" spans="3:5" x14ac:dyDescent="0.3">
      <c r="C495" s="9"/>
      <c r="D495" s="9"/>
      <c r="E495" s="9"/>
    </row>
    <row r="496" spans="3:5" x14ac:dyDescent="0.3">
      <c r="C496" s="9"/>
      <c r="D496" s="9"/>
      <c r="E496" s="9"/>
    </row>
    <row r="497" spans="3:5" x14ac:dyDescent="0.3">
      <c r="C497" s="9"/>
      <c r="D497" s="9"/>
      <c r="E497" s="9"/>
    </row>
    <row r="498" spans="3:5" x14ac:dyDescent="0.3">
      <c r="C498" s="9"/>
      <c r="D498" s="9"/>
      <c r="E498" s="9"/>
    </row>
    <row r="499" spans="3:5" x14ac:dyDescent="0.3">
      <c r="C499" s="9"/>
      <c r="D499" s="9"/>
      <c r="E499" s="9"/>
    </row>
    <row r="500" spans="3:5" x14ac:dyDescent="0.3">
      <c r="C500" s="9"/>
      <c r="D500" s="9"/>
      <c r="E500" s="9"/>
    </row>
    <row r="501" spans="3:5" x14ac:dyDescent="0.3">
      <c r="C501" s="9"/>
      <c r="D501" s="9"/>
      <c r="E501" s="9"/>
    </row>
    <row r="502" spans="3:5" x14ac:dyDescent="0.3">
      <c r="C502" s="9"/>
      <c r="D502" s="9"/>
      <c r="E502" s="9"/>
    </row>
    <row r="503" spans="3:5" x14ac:dyDescent="0.3">
      <c r="C503" s="9"/>
      <c r="D503" s="9"/>
      <c r="E503" s="9"/>
    </row>
    <row r="504" spans="3:5" x14ac:dyDescent="0.3">
      <c r="C504" s="9"/>
      <c r="D504" s="9"/>
      <c r="E504" s="9"/>
    </row>
    <row r="505" spans="3:5" x14ac:dyDescent="0.3">
      <c r="C505" s="9"/>
      <c r="D505" s="9"/>
      <c r="E505" s="9"/>
    </row>
    <row r="506" spans="3:5" x14ac:dyDescent="0.3">
      <c r="C506" s="9"/>
      <c r="D506" s="9"/>
      <c r="E506" s="9"/>
    </row>
    <row r="507" spans="3:5" x14ac:dyDescent="0.3">
      <c r="C507" s="9"/>
      <c r="D507" s="9"/>
      <c r="E507" s="9"/>
    </row>
    <row r="508" spans="3:5" x14ac:dyDescent="0.3">
      <c r="C508" s="9"/>
      <c r="D508" s="9"/>
      <c r="E508" s="9"/>
    </row>
    <row r="509" spans="3:5" x14ac:dyDescent="0.3">
      <c r="C509" s="9"/>
      <c r="D509" s="9"/>
      <c r="E509" s="9"/>
    </row>
    <row r="510" spans="3:5" x14ac:dyDescent="0.3">
      <c r="C510" s="9"/>
      <c r="D510" s="9"/>
      <c r="E510" s="9"/>
    </row>
    <row r="511" spans="3:5" x14ac:dyDescent="0.3">
      <c r="C511" s="9"/>
      <c r="D511" s="9"/>
      <c r="E511" s="9"/>
    </row>
    <row r="512" spans="3:5" x14ac:dyDescent="0.3">
      <c r="C512" s="9"/>
      <c r="D512" s="9"/>
      <c r="E512" s="9"/>
    </row>
    <row r="513" spans="3:5" x14ac:dyDescent="0.3">
      <c r="C513" s="9"/>
      <c r="D513" s="9"/>
      <c r="E513" s="9"/>
    </row>
    <row r="514" spans="3:5" x14ac:dyDescent="0.3">
      <c r="C514" s="9"/>
      <c r="D514" s="9"/>
      <c r="E514" s="9"/>
    </row>
    <row r="515" spans="3:5" x14ac:dyDescent="0.3">
      <c r="C515" s="9"/>
      <c r="D515" s="9"/>
      <c r="E515" s="9"/>
    </row>
    <row r="516" spans="3:5" x14ac:dyDescent="0.3">
      <c r="C516" s="9"/>
      <c r="D516" s="9"/>
      <c r="E516" s="9"/>
    </row>
    <row r="517" spans="3:5" x14ac:dyDescent="0.3">
      <c r="C517" s="9"/>
      <c r="D517" s="9"/>
      <c r="E517" s="9"/>
    </row>
    <row r="518" spans="3:5" x14ac:dyDescent="0.3">
      <c r="C518" s="9"/>
      <c r="D518" s="9"/>
      <c r="E518" s="9"/>
    </row>
    <row r="519" spans="3:5" x14ac:dyDescent="0.3">
      <c r="C519" s="9"/>
      <c r="D519" s="9"/>
      <c r="E519" s="9"/>
    </row>
    <row r="520" spans="3:5" x14ac:dyDescent="0.3">
      <c r="C520" s="9"/>
      <c r="D520" s="9"/>
      <c r="E520" s="9"/>
    </row>
    <row r="521" spans="3:5" x14ac:dyDescent="0.3">
      <c r="C521" s="9"/>
      <c r="D521" s="9"/>
      <c r="E521" s="9"/>
    </row>
    <row r="522" spans="3:5" x14ac:dyDescent="0.3">
      <c r="C522" s="9"/>
      <c r="D522" s="9"/>
      <c r="E522" s="9"/>
    </row>
    <row r="523" spans="3:5" x14ac:dyDescent="0.3">
      <c r="C523" s="9"/>
      <c r="D523" s="9"/>
      <c r="E523" s="9"/>
    </row>
    <row r="524" spans="3:5" x14ac:dyDescent="0.3">
      <c r="C524" s="9"/>
      <c r="D524" s="9"/>
      <c r="E524" s="9"/>
    </row>
    <row r="525" spans="3:5" x14ac:dyDescent="0.3">
      <c r="C525" s="9"/>
      <c r="D525" s="9"/>
      <c r="E525" s="9"/>
    </row>
    <row r="526" spans="3:5" x14ac:dyDescent="0.3">
      <c r="C526" s="9"/>
      <c r="D526" s="9"/>
      <c r="E526" s="9"/>
    </row>
    <row r="527" spans="3:5" x14ac:dyDescent="0.3">
      <c r="C527" s="9"/>
      <c r="D527" s="9"/>
      <c r="E527" s="9"/>
    </row>
    <row r="528" spans="3:5" x14ac:dyDescent="0.3">
      <c r="C528" s="9"/>
      <c r="D528" s="9"/>
      <c r="E528" s="9"/>
    </row>
    <row r="529" spans="3:5" x14ac:dyDescent="0.3">
      <c r="C529" s="9"/>
      <c r="D529" s="9"/>
      <c r="E529" s="9"/>
    </row>
    <row r="530" spans="3:5" x14ac:dyDescent="0.3">
      <c r="C530" s="9"/>
      <c r="D530" s="9"/>
      <c r="E530" s="9"/>
    </row>
    <row r="531" spans="3:5" x14ac:dyDescent="0.3">
      <c r="C531" s="9"/>
      <c r="D531" s="9"/>
      <c r="E531" s="9"/>
    </row>
    <row r="532" spans="3:5" x14ac:dyDescent="0.3">
      <c r="C532" s="9"/>
      <c r="D532" s="9"/>
      <c r="E532" s="9"/>
    </row>
    <row r="533" spans="3:5" x14ac:dyDescent="0.3">
      <c r="C533" s="9"/>
      <c r="D533" s="9"/>
      <c r="E533" s="9"/>
    </row>
    <row r="534" spans="3:5" x14ac:dyDescent="0.3">
      <c r="C534" s="9"/>
      <c r="D534" s="9"/>
      <c r="E534" s="9"/>
    </row>
    <row r="535" spans="3:5" x14ac:dyDescent="0.3">
      <c r="C535" s="9"/>
      <c r="D535" s="9"/>
      <c r="E535" s="9"/>
    </row>
    <row r="536" spans="3:5" x14ac:dyDescent="0.3">
      <c r="C536" s="9"/>
      <c r="D536" s="9"/>
      <c r="E536" s="9"/>
    </row>
    <row r="537" spans="3:5" x14ac:dyDescent="0.3">
      <c r="C537" s="9"/>
      <c r="D537" s="9"/>
      <c r="E537" s="9"/>
    </row>
    <row r="538" spans="3:5" x14ac:dyDescent="0.3">
      <c r="C538" s="9"/>
      <c r="D538" s="9"/>
      <c r="E538" s="9"/>
    </row>
    <row r="539" spans="3:5" x14ac:dyDescent="0.3">
      <c r="C539" s="9"/>
      <c r="D539" s="9"/>
      <c r="E539" s="9"/>
    </row>
    <row r="540" spans="3:5" x14ac:dyDescent="0.3">
      <c r="C540" s="9"/>
      <c r="D540" s="9"/>
      <c r="E540" s="9"/>
    </row>
    <row r="541" spans="3:5" x14ac:dyDescent="0.3">
      <c r="C541" s="9"/>
      <c r="D541" s="9"/>
      <c r="E541" s="9"/>
    </row>
    <row r="542" spans="3:5" x14ac:dyDescent="0.3">
      <c r="C542" s="9"/>
      <c r="D542" s="9"/>
      <c r="E542" s="9"/>
    </row>
    <row r="543" spans="3:5" x14ac:dyDescent="0.3">
      <c r="C543" s="9"/>
      <c r="D543" s="9"/>
      <c r="E543" s="9"/>
    </row>
    <row r="544" spans="3:5" x14ac:dyDescent="0.3">
      <c r="C544" s="9"/>
      <c r="D544" s="9"/>
      <c r="E544" s="9"/>
    </row>
    <row r="545" spans="3:5" x14ac:dyDescent="0.3">
      <c r="C545" s="9"/>
      <c r="D545" s="9"/>
      <c r="E545" s="9"/>
    </row>
    <row r="546" spans="3:5" x14ac:dyDescent="0.3">
      <c r="C546" s="9"/>
      <c r="D546" s="9"/>
      <c r="E546" s="9"/>
    </row>
    <row r="547" spans="3:5" x14ac:dyDescent="0.3">
      <c r="C547" s="9"/>
      <c r="D547" s="9"/>
      <c r="E547" s="9"/>
    </row>
    <row r="548" spans="3:5" x14ac:dyDescent="0.3">
      <c r="C548" s="9"/>
      <c r="D548" s="9"/>
      <c r="E548" s="9"/>
    </row>
    <row r="549" spans="3:5" x14ac:dyDescent="0.3">
      <c r="C549" s="9"/>
      <c r="D549" s="9"/>
      <c r="E549" s="9"/>
    </row>
    <row r="550" spans="3:5" x14ac:dyDescent="0.3">
      <c r="C550" s="9"/>
      <c r="D550" s="9"/>
      <c r="E550" s="9"/>
    </row>
    <row r="551" spans="3:5" x14ac:dyDescent="0.3">
      <c r="C551" s="9"/>
      <c r="D551" s="9"/>
      <c r="E551" s="9"/>
    </row>
    <row r="552" spans="3:5" x14ac:dyDescent="0.3">
      <c r="C552" s="9"/>
      <c r="D552" s="9"/>
      <c r="E552" s="9"/>
    </row>
    <row r="553" spans="3:5" x14ac:dyDescent="0.3">
      <c r="C553" s="9"/>
      <c r="D553" s="9"/>
      <c r="E553" s="9"/>
    </row>
    <row r="554" spans="3:5" x14ac:dyDescent="0.3">
      <c r="C554" s="9"/>
      <c r="D554" s="9"/>
      <c r="E554" s="9"/>
    </row>
    <row r="555" spans="3:5" x14ac:dyDescent="0.3">
      <c r="C555" s="9"/>
      <c r="D555" s="9"/>
      <c r="E555" s="9"/>
    </row>
    <row r="556" spans="3:5" x14ac:dyDescent="0.3">
      <c r="C556" s="9"/>
      <c r="D556" s="9"/>
      <c r="E556" s="9"/>
    </row>
    <row r="557" spans="3:5" x14ac:dyDescent="0.3">
      <c r="C557" s="9"/>
      <c r="D557" s="9"/>
      <c r="E557" s="9"/>
    </row>
    <row r="558" spans="3:5" x14ac:dyDescent="0.3">
      <c r="C558" s="9"/>
      <c r="D558" s="9"/>
      <c r="E558" s="9"/>
    </row>
    <row r="559" spans="3:5" x14ac:dyDescent="0.3">
      <c r="C559" s="9"/>
      <c r="D559" s="9"/>
      <c r="E559" s="9"/>
    </row>
    <row r="560" spans="3:5" x14ac:dyDescent="0.3">
      <c r="C560" s="9"/>
      <c r="D560" s="9"/>
      <c r="E560" s="9"/>
    </row>
    <row r="561" spans="3:5" x14ac:dyDescent="0.3">
      <c r="C561" s="9"/>
      <c r="D561" s="9"/>
      <c r="E561" s="9"/>
    </row>
    <row r="562" spans="3:5" x14ac:dyDescent="0.3">
      <c r="C562" s="9"/>
      <c r="D562" s="9"/>
      <c r="E562" s="9"/>
    </row>
    <row r="563" spans="3:5" x14ac:dyDescent="0.3">
      <c r="C563" s="9"/>
      <c r="D563" s="9"/>
      <c r="E563" s="9"/>
    </row>
    <row r="564" spans="3:5" x14ac:dyDescent="0.3">
      <c r="C564" s="9"/>
      <c r="D564" s="9"/>
      <c r="E564" s="9"/>
    </row>
    <row r="565" spans="3:5" x14ac:dyDescent="0.3">
      <c r="C565" s="9"/>
      <c r="D565" s="9"/>
      <c r="E565" s="9"/>
    </row>
    <row r="566" spans="3:5" x14ac:dyDescent="0.3">
      <c r="C566" s="9"/>
      <c r="D566" s="9"/>
      <c r="E566" s="9"/>
    </row>
    <row r="567" spans="3:5" x14ac:dyDescent="0.3">
      <c r="C567" s="9"/>
      <c r="D567" s="9"/>
      <c r="E567" s="9"/>
    </row>
    <row r="568" spans="3:5" x14ac:dyDescent="0.3">
      <c r="C568" s="9"/>
      <c r="D568" s="9"/>
      <c r="E568" s="9"/>
    </row>
    <row r="569" spans="3:5" x14ac:dyDescent="0.3">
      <c r="C569" s="9"/>
      <c r="D569" s="9"/>
      <c r="E569" s="9"/>
    </row>
    <row r="570" spans="3:5" x14ac:dyDescent="0.3">
      <c r="C570" s="9"/>
      <c r="D570" s="9"/>
      <c r="E570" s="9"/>
    </row>
    <row r="571" spans="3:5" x14ac:dyDescent="0.3">
      <c r="C571" s="9"/>
      <c r="D571" s="9"/>
      <c r="E571" s="9"/>
    </row>
    <row r="572" spans="3:5" x14ac:dyDescent="0.3">
      <c r="C572" s="9"/>
      <c r="D572" s="9"/>
      <c r="E572" s="9"/>
    </row>
    <row r="573" spans="3:5" x14ac:dyDescent="0.3">
      <c r="C573" s="9"/>
      <c r="D573" s="9"/>
      <c r="E573" s="9"/>
    </row>
    <row r="574" spans="3:5" x14ac:dyDescent="0.3">
      <c r="C574" s="9"/>
      <c r="D574" s="9"/>
      <c r="E574" s="9"/>
    </row>
    <row r="575" spans="3:5" x14ac:dyDescent="0.3">
      <c r="C575" s="9"/>
      <c r="D575" s="9"/>
      <c r="E575" s="9"/>
    </row>
    <row r="576" spans="3:5" x14ac:dyDescent="0.3">
      <c r="C576" s="9"/>
      <c r="D576" s="9"/>
      <c r="E576" s="9"/>
    </row>
    <row r="577" spans="3:5" x14ac:dyDescent="0.3">
      <c r="C577" s="9"/>
      <c r="D577" s="9"/>
      <c r="E577" s="9"/>
    </row>
    <row r="578" spans="3:5" x14ac:dyDescent="0.3">
      <c r="C578" s="9"/>
      <c r="D578" s="9"/>
      <c r="E578" s="9"/>
    </row>
    <row r="579" spans="3:5" x14ac:dyDescent="0.3">
      <c r="C579" s="9"/>
      <c r="D579" s="9"/>
      <c r="E579" s="9"/>
    </row>
    <row r="580" spans="3:5" x14ac:dyDescent="0.3">
      <c r="C580" s="9"/>
      <c r="D580" s="9"/>
      <c r="E580" s="9"/>
    </row>
    <row r="581" spans="3:5" x14ac:dyDescent="0.3">
      <c r="C581" s="9"/>
      <c r="D581" s="9"/>
      <c r="E581" s="9"/>
    </row>
    <row r="582" spans="3:5" x14ac:dyDescent="0.3">
      <c r="C582" s="9"/>
      <c r="D582" s="9"/>
      <c r="E582" s="9"/>
    </row>
    <row r="583" spans="3:5" x14ac:dyDescent="0.3">
      <c r="C583" s="9"/>
      <c r="D583" s="9"/>
      <c r="E583" s="9"/>
    </row>
    <row r="584" spans="3:5" x14ac:dyDescent="0.3">
      <c r="C584" s="9"/>
      <c r="D584" s="9"/>
      <c r="E584" s="9"/>
    </row>
    <row r="585" spans="3:5" x14ac:dyDescent="0.3">
      <c r="C585" s="9"/>
      <c r="D585" s="9"/>
      <c r="E585" s="9"/>
    </row>
    <row r="586" spans="3:5" x14ac:dyDescent="0.3">
      <c r="C586" s="9"/>
      <c r="D586" s="9"/>
      <c r="E586" s="9"/>
    </row>
    <row r="587" spans="3:5" x14ac:dyDescent="0.3">
      <c r="C587" s="9"/>
      <c r="D587" s="9"/>
      <c r="E587" s="9"/>
    </row>
    <row r="588" spans="3:5" x14ac:dyDescent="0.3">
      <c r="C588" s="9"/>
      <c r="D588" s="9"/>
      <c r="E588" s="9"/>
    </row>
    <row r="589" spans="3:5" x14ac:dyDescent="0.3">
      <c r="C589" s="9"/>
      <c r="D589" s="9"/>
      <c r="E589" s="9"/>
    </row>
    <row r="590" spans="3:5" x14ac:dyDescent="0.3">
      <c r="C590" s="9"/>
      <c r="D590" s="9"/>
      <c r="E590" s="9"/>
    </row>
    <row r="591" spans="3:5" x14ac:dyDescent="0.3">
      <c r="C591" s="9"/>
      <c r="D591" s="9"/>
      <c r="E591" s="9"/>
    </row>
    <row r="592" spans="3:5" x14ac:dyDescent="0.3">
      <c r="C592" s="9"/>
      <c r="D592" s="9"/>
      <c r="E592" s="9"/>
    </row>
    <row r="593" spans="3:5" x14ac:dyDescent="0.3">
      <c r="C593" s="9"/>
      <c r="D593" s="9"/>
      <c r="E593" s="9"/>
    </row>
    <row r="594" spans="3:5" x14ac:dyDescent="0.3">
      <c r="C594" s="9"/>
      <c r="D594" s="9"/>
      <c r="E594" s="9"/>
    </row>
    <row r="595" spans="3:5" x14ac:dyDescent="0.3">
      <c r="C595" s="9"/>
      <c r="D595" s="9"/>
      <c r="E595" s="9"/>
    </row>
    <row r="596" spans="3:5" x14ac:dyDescent="0.3">
      <c r="C596" s="9"/>
      <c r="D596" s="9"/>
      <c r="E596" s="9"/>
    </row>
    <row r="597" spans="3:5" x14ac:dyDescent="0.3">
      <c r="C597" s="9"/>
      <c r="D597" s="9"/>
      <c r="E597" s="9"/>
    </row>
    <row r="598" spans="3:5" x14ac:dyDescent="0.3">
      <c r="C598" s="9"/>
      <c r="D598" s="9"/>
      <c r="E598" s="9"/>
    </row>
    <row r="599" spans="3:5" x14ac:dyDescent="0.3">
      <c r="C599" s="9"/>
      <c r="D599" s="9"/>
      <c r="E599" s="9"/>
    </row>
    <row r="600" spans="3:5" x14ac:dyDescent="0.3">
      <c r="C600" s="9"/>
      <c r="D600" s="9"/>
      <c r="E600" s="9"/>
    </row>
    <row r="601" spans="3:5" x14ac:dyDescent="0.3">
      <c r="C601" s="9"/>
      <c r="D601" s="9"/>
      <c r="E601" s="9"/>
    </row>
    <row r="602" spans="3:5" x14ac:dyDescent="0.3">
      <c r="C602" s="9"/>
      <c r="D602" s="9"/>
      <c r="E602" s="9"/>
    </row>
    <row r="603" spans="3:5" x14ac:dyDescent="0.3">
      <c r="C603" s="9"/>
      <c r="D603" s="9"/>
      <c r="E603" s="9"/>
    </row>
    <row r="604" spans="3:5" x14ac:dyDescent="0.3">
      <c r="C604" s="9"/>
      <c r="D604" s="9"/>
      <c r="E604" s="9"/>
    </row>
    <row r="605" spans="3:5" x14ac:dyDescent="0.3">
      <c r="C605" s="9"/>
      <c r="D605" s="9"/>
      <c r="E605" s="9"/>
    </row>
    <row r="606" spans="3:5" x14ac:dyDescent="0.3">
      <c r="C606" s="9"/>
      <c r="D606" s="9"/>
      <c r="E606" s="9"/>
    </row>
    <row r="607" spans="3:5" x14ac:dyDescent="0.3">
      <c r="C607" s="9"/>
      <c r="D607" s="9"/>
      <c r="E607" s="9"/>
    </row>
    <row r="608" spans="3:5" x14ac:dyDescent="0.3">
      <c r="C608" s="9"/>
      <c r="D608" s="9"/>
      <c r="E608" s="9"/>
    </row>
    <row r="609" spans="3:5" x14ac:dyDescent="0.3">
      <c r="C609" s="9"/>
      <c r="D609" s="9"/>
      <c r="E609" s="9"/>
    </row>
    <row r="610" spans="3:5" x14ac:dyDescent="0.3">
      <c r="C610" s="9"/>
      <c r="D610" s="9"/>
      <c r="E610" s="9"/>
    </row>
    <row r="611" spans="3:5" x14ac:dyDescent="0.3">
      <c r="C611" s="9"/>
      <c r="D611" s="9"/>
      <c r="E611" s="9"/>
    </row>
    <row r="612" spans="3:5" x14ac:dyDescent="0.3">
      <c r="C612" s="9"/>
      <c r="D612" s="9"/>
      <c r="E612" s="9"/>
    </row>
    <row r="613" spans="3:5" x14ac:dyDescent="0.3">
      <c r="C613" s="9"/>
      <c r="D613" s="9"/>
      <c r="E613" s="9"/>
    </row>
    <row r="614" spans="3:5" x14ac:dyDescent="0.3">
      <c r="C614" s="9"/>
      <c r="D614" s="9"/>
      <c r="E614" s="9"/>
    </row>
    <row r="615" spans="3:5" x14ac:dyDescent="0.3">
      <c r="C615" s="9"/>
      <c r="D615" s="9"/>
      <c r="E615" s="9"/>
    </row>
    <row r="616" spans="3:5" x14ac:dyDescent="0.3">
      <c r="C616" s="9"/>
      <c r="D616" s="9"/>
      <c r="E616" s="9"/>
    </row>
    <row r="617" spans="3:5" x14ac:dyDescent="0.3">
      <c r="C617" s="9"/>
      <c r="D617" s="9"/>
      <c r="E617" s="9"/>
    </row>
    <row r="618" spans="3:5" x14ac:dyDescent="0.3">
      <c r="C618" s="9"/>
      <c r="D618" s="9"/>
      <c r="E618" s="9"/>
    </row>
    <row r="619" spans="3:5" x14ac:dyDescent="0.3">
      <c r="C619" s="9"/>
      <c r="D619" s="9"/>
      <c r="E619" s="9"/>
    </row>
    <row r="620" spans="3:5" x14ac:dyDescent="0.3">
      <c r="C620" s="9"/>
      <c r="D620" s="9"/>
      <c r="E620" s="9"/>
    </row>
    <row r="621" spans="3:5" x14ac:dyDescent="0.3">
      <c r="C621" s="9"/>
      <c r="D621" s="9"/>
      <c r="E621" s="9"/>
    </row>
    <row r="622" spans="3:5" x14ac:dyDescent="0.3">
      <c r="C622" s="9"/>
      <c r="D622" s="9"/>
      <c r="E622" s="9"/>
    </row>
    <row r="623" spans="3:5" x14ac:dyDescent="0.3">
      <c r="C623" s="9"/>
      <c r="D623" s="9"/>
      <c r="E623" s="9"/>
    </row>
    <row r="624" spans="3:5" x14ac:dyDescent="0.3">
      <c r="C624" s="9"/>
      <c r="D624" s="9"/>
      <c r="E624" s="9"/>
    </row>
    <row r="625" spans="3:5" x14ac:dyDescent="0.3">
      <c r="C625" s="9"/>
      <c r="D625" s="9"/>
      <c r="E625" s="9"/>
    </row>
    <row r="626" spans="3:5" x14ac:dyDescent="0.3">
      <c r="C626" s="9"/>
      <c r="D626" s="9"/>
      <c r="E626" s="9"/>
    </row>
    <row r="627" spans="3:5" x14ac:dyDescent="0.3">
      <c r="C627" s="9"/>
      <c r="D627" s="9"/>
      <c r="E627" s="9"/>
    </row>
    <row r="628" spans="3:5" x14ac:dyDescent="0.3">
      <c r="C628" s="9"/>
      <c r="D628" s="9"/>
      <c r="E628" s="9"/>
    </row>
    <row r="629" spans="3:5" x14ac:dyDescent="0.3">
      <c r="C629" s="9"/>
      <c r="D629" s="9"/>
      <c r="E629" s="9"/>
    </row>
    <row r="630" spans="3:5" x14ac:dyDescent="0.3">
      <c r="C630" s="9"/>
      <c r="D630" s="9"/>
      <c r="E630" s="9"/>
    </row>
    <row r="631" spans="3:5" x14ac:dyDescent="0.3">
      <c r="C631" s="9"/>
      <c r="D631" s="9"/>
      <c r="E631" s="9"/>
    </row>
    <row r="632" spans="3:5" x14ac:dyDescent="0.3">
      <c r="C632" s="9"/>
      <c r="D632" s="9"/>
      <c r="E632" s="9"/>
    </row>
    <row r="633" spans="3:5" x14ac:dyDescent="0.3">
      <c r="C633" s="9"/>
      <c r="D633" s="9"/>
      <c r="E633" s="9"/>
    </row>
    <row r="634" spans="3:5" x14ac:dyDescent="0.3">
      <c r="C634" s="9"/>
      <c r="D634" s="9"/>
      <c r="E634" s="9"/>
    </row>
    <row r="635" spans="3:5" x14ac:dyDescent="0.3">
      <c r="C635" s="9"/>
      <c r="D635" s="9"/>
      <c r="E635" s="9"/>
    </row>
    <row r="636" spans="3:5" x14ac:dyDescent="0.3">
      <c r="C636" s="9"/>
      <c r="D636" s="9"/>
      <c r="E636" s="9"/>
    </row>
    <row r="637" spans="3:5" x14ac:dyDescent="0.3">
      <c r="C637" s="9"/>
      <c r="D637" s="9"/>
      <c r="E637" s="9"/>
    </row>
    <row r="638" spans="3:5" x14ac:dyDescent="0.3">
      <c r="C638" s="9"/>
      <c r="D638" s="9"/>
      <c r="E638" s="9"/>
    </row>
    <row r="639" spans="3:5" x14ac:dyDescent="0.3">
      <c r="C639" s="9"/>
      <c r="D639" s="9"/>
      <c r="E639" s="9"/>
    </row>
    <row r="640" spans="3:5" x14ac:dyDescent="0.3">
      <c r="C640" s="9"/>
      <c r="D640" s="9"/>
      <c r="E640" s="9"/>
    </row>
    <row r="641" spans="3:5" x14ac:dyDescent="0.3">
      <c r="C641" s="9"/>
      <c r="D641" s="9"/>
      <c r="E641" s="9"/>
    </row>
    <row r="642" spans="3:5" x14ac:dyDescent="0.3">
      <c r="C642" s="9"/>
      <c r="D642" s="9"/>
      <c r="E642" s="9"/>
    </row>
    <row r="643" spans="3:5" x14ac:dyDescent="0.3">
      <c r="C643" s="9"/>
      <c r="D643" s="9"/>
      <c r="E643" s="9"/>
    </row>
    <row r="644" spans="3:5" x14ac:dyDescent="0.3">
      <c r="C644" s="9"/>
      <c r="D644" s="9"/>
      <c r="E644" s="9"/>
    </row>
    <row r="645" spans="3:5" x14ac:dyDescent="0.3">
      <c r="C645" s="9"/>
      <c r="D645" s="9"/>
      <c r="E645" s="9"/>
    </row>
    <row r="646" spans="3:5" x14ac:dyDescent="0.3">
      <c r="C646" s="9"/>
      <c r="D646" s="9"/>
      <c r="E646" s="9"/>
    </row>
    <row r="647" spans="3:5" x14ac:dyDescent="0.3">
      <c r="C647" s="9"/>
      <c r="D647" s="9"/>
      <c r="E647" s="9"/>
    </row>
    <row r="648" spans="3:5" x14ac:dyDescent="0.3">
      <c r="C648" s="9"/>
      <c r="D648" s="9"/>
      <c r="E648" s="9"/>
    </row>
    <row r="649" spans="3:5" x14ac:dyDescent="0.3">
      <c r="C649" s="9"/>
      <c r="D649" s="9"/>
      <c r="E649" s="9"/>
    </row>
    <row r="650" spans="3:5" x14ac:dyDescent="0.3">
      <c r="C650" s="9"/>
      <c r="D650" s="9"/>
      <c r="E650" s="9"/>
    </row>
    <row r="651" spans="3:5" x14ac:dyDescent="0.3">
      <c r="C651" s="9"/>
      <c r="D651" s="9"/>
      <c r="E651" s="9"/>
    </row>
    <row r="652" spans="3:5" x14ac:dyDescent="0.3">
      <c r="C652" s="9"/>
      <c r="D652" s="9"/>
      <c r="E652" s="9"/>
    </row>
    <row r="653" spans="3:5" x14ac:dyDescent="0.3">
      <c r="C653" s="9"/>
      <c r="D653" s="9"/>
      <c r="E653" s="9"/>
    </row>
    <row r="654" spans="3:5" x14ac:dyDescent="0.3">
      <c r="C654" s="9"/>
      <c r="D654" s="9"/>
      <c r="E654" s="9"/>
    </row>
    <row r="655" spans="3:5" x14ac:dyDescent="0.3">
      <c r="C655" s="9"/>
      <c r="D655" s="9"/>
      <c r="E655" s="9"/>
    </row>
    <row r="656" spans="3:5" x14ac:dyDescent="0.3">
      <c r="C656" s="9"/>
      <c r="D656" s="9"/>
      <c r="E656" s="9"/>
    </row>
    <row r="657" spans="3:5" x14ac:dyDescent="0.3">
      <c r="C657" s="9"/>
      <c r="D657" s="9"/>
      <c r="E657" s="9"/>
    </row>
    <row r="658" spans="3:5" x14ac:dyDescent="0.3">
      <c r="C658" s="9"/>
      <c r="D658" s="9"/>
      <c r="E658" s="9"/>
    </row>
    <row r="659" spans="3:5" x14ac:dyDescent="0.3">
      <c r="C659" s="9"/>
      <c r="D659" s="9"/>
      <c r="E659" s="9"/>
    </row>
    <row r="660" spans="3:5" x14ac:dyDescent="0.3">
      <c r="C660" s="9"/>
      <c r="D660" s="9"/>
      <c r="E660" s="9"/>
    </row>
    <row r="661" spans="3:5" x14ac:dyDescent="0.3">
      <c r="C661" s="9"/>
      <c r="D661" s="9"/>
      <c r="E661" s="9"/>
    </row>
    <row r="662" spans="3:5" x14ac:dyDescent="0.3">
      <c r="C662" s="9"/>
      <c r="D662" s="9"/>
      <c r="E662" s="9"/>
    </row>
    <row r="663" spans="3:5" x14ac:dyDescent="0.3">
      <c r="C663" s="9"/>
      <c r="D663" s="9"/>
      <c r="E663" s="9"/>
    </row>
    <row r="664" spans="3:5" x14ac:dyDescent="0.3">
      <c r="C664" s="9"/>
      <c r="D664" s="9"/>
      <c r="E664" s="9"/>
    </row>
    <row r="665" spans="3:5" x14ac:dyDescent="0.3">
      <c r="C665" s="9"/>
      <c r="D665" s="9"/>
      <c r="E665" s="9"/>
    </row>
    <row r="666" spans="3:5" x14ac:dyDescent="0.3">
      <c r="C666" s="9"/>
      <c r="D666" s="9"/>
      <c r="E666" s="9"/>
    </row>
    <row r="667" spans="3:5" x14ac:dyDescent="0.3">
      <c r="C667" s="9"/>
      <c r="D667" s="9"/>
      <c r="E667" s="9"/>
    </row>
    <row r="668" spans="3:5" x14ac:dyDescent="0.3">
      <c r="C668" s="9"/>
      <c r="D668" s="9"/>
      <c r="E668" s="9"/>
    </row>
    <row r="669" spans="3:5" x14ac:dyDescent="0.3">
      <c r="C669" s="9"/>
      <c r="D669" s="9"/>
      <c r="E669" s="9"/>
    </row>
    <row r="670" spans="3:5" x14ac:dyDescent="0.3">
      <c r="C670" s="9"/>
      <c r="D670" s="9"/>
      <c r="E670" s="9"/>
    </row>
    <row r="671" spans="3:5" x14ac:dyDescent="0.3">
      <c r="C671" s="9"/>
      <c r="D671" s="9"/>
      <c r="E671" s="9"/>
    </row>
    <row r="672" spans="3:5" x14ac:dyDescent="0.3">
      <c r="C672" s="9"/>
      <c r="D672" s="9"/>
      <c r="E672" s="9"/>
    </row>
    <row r="673" spans="3:5" x14ac:dyDescent="0.3">
      <c r="C673" s="9"/>
      <c r="D673" s="9"/>
      <c r="E673" s="9"/>
    </row>
    <row r="674" spans="3:5" x14ac:dyDescent="0.3">
      <c r="C674" s="9"/>
      <c r="D674" s="9"/>
      <c r="E674" s="9"/>
    </row>
    <row r="675" spans="3:5" x14ac:dyDescent="0.3">
      <c r="C675" s="9"/>
      <c r="D675" s="9"/>
      <c r="E675" s="9"/>
    </row>
    <row r="676" spans="3:5" x14ac:dyDescent="0.3">
      <c r="C676" s="9"/>
      <c r="D676" s="9"/>
      <c r="E676" s="9"/>
    </row>
    <row r="677" spans="3:5" x14ac:dyDescent="0.3">
      <c r="C677" s="9"/>
      <c r="D677" s="9"/>
      <c r="E677" s="9"/>
    </row>
    <row r="678" spans="3:5" x14ac:dyDescent="0.3">
      <c r="C678" s="9"/>
      <c r="D678" s="9"/>
      <c r="E678" s="9"/>
    </row>
    <row r="679" spans="3:5" x14ac:dyDescent="0.3">
      <c r="C679" s="9"/>
      <c r="D679" s="9"/>
      <c r="E679" s="9"/>
    </row>
    <row r="680" spans="3:5" x14ac:dyDescent="0.3">
      <c r="C680" s="9"/>
      <c r="D680" s="9"/>
      <c r="E680" s="9"/>
    </row>
    <row r="681" spans="3:5" x14ac:dyDescent="0.3">
      <c r="C681" s="9"/>
      <c r="D681" s="9"/>
      <c r="E681" s="9"/>
    </row>
    <row r="682" spans="3:5" x14ac:dyDescent="0.3">
      <c r="C682" s="9"/>
      <c r="D682" s="9"/>
      <c r="E682" s="9"/>
    </row>
    <row r="683" spans="3:5" x14ac:dyDescent="0.3">
      <c r="C683" s="9"/>
      <c r="D683" s="9"/>
      <c r="E683" s="9"/>
    </row>
    <row r="684" spans="3:5" x14ac:dyDescent="0.3">
      <c r="C684" s="9"/>
      <c r="D684" s="9"/>
      <c r="E684" s="9"/>
    </row>
    <row r="685" spans="3:5" x14ac:dyDescent="0.3">
      <c r="C685" s="9"/>
      <c r="D685" s="9"/>
      <c r="E685" s="9"/>
    </row>
    <row r="686" spans="3:5" x14ac:dyDescent="0.3">
      <c r="C686" s="9"/>
      <c r="D686" s="9"/>
      <c r="E686" s="9"/>
    </row>
    <row r="687" spans="3:5" x14ac:dyDescent="0.3">
      <c r="C687" s="9"/>
      <c r="D687" s="9"/>
      <c r="E687" s="9"/>
    </row>
    <row r="688" spans="3:5" x14ac:dyDescent="0.3">
      <c r="C688" s="9"/>
      <c r="D688" s="9"/>
      <c r="E688" s="9"/>
    </row>
    <row r="689" spans="3:5" x14ac:dyDescent="0.3">
      <c r="C689" s="9"/>
      <c r="D689" s="9"/>
      <c r="E689" s="9"/>
    </row>
    <row r="690" spans="3:5" x14ac:dyDescent="0.3">
      <c r="C690" s="9"/>
      <c r="D690" s="9"/>
      <c r="E690" s="9"/>
    </row>
    <row r="691" spans="3:5" x14ac:dyDescent="0.3">
      <c r="C691" s="9"/>
      <c r="D691" s="9"/>
      <c r="E691" s="9"/>
    </row>
    <row r="692" spans="3:5" x14ac:dyDescent="0.3">
      <c r="C692" s="9"/>
      <c r="D692" s="9"/>
      <c r="E692" s="9"/>
    </row>
    <row r="693" spans="3:5" x14ac:dyDescent="0.3">
      <c r="C693" s="9"/>
      <c r="D693" s="9"/>
      <c r="E693" s="9"/>
    </row>
    <row r="694" spans="3:5" x14ac:dyDescent="0.3">
      <c r="C694" s="9"/>
      <c r="D694" s="9"/>
      <c r="E694" s="9"/>
    </row>
    <row r="695" spans="3:5" x14ac:dyDescent="0.3">
      <c r="C695" s="9"/>
      <c r="D695" s="9"/>
      <c r="E695" s="9"/>
    </row>
    <row r="696" spans="3:5" x14ac:dyDescent="0.3">
      <c r="C696" s="9"/>
      <c r="D696" s="9"/>
      <c r="E696" s="9"/>
    </row>
    <row r="697" spans="3:5" x14ac:dyDescent="0.3">
      <c r="C697" s="9"/>
      <c r="D697" s="9"/>
      <c r="E697" s="9"/>
    </row>
    <row r="698" spans="3:5" x14ac:dyDescent="0.3">
      <c r="C698" s="9"/>
      <c r="D698" s="9"/>
      <c r="E698" s="9"/>
    </row>
    <row r="699" spans="3:5" x14ac:dyDescent="0.3">
      <c r="C699" s="9"/>
      <c r="D699" s="9"/>
      <c r="E699" s="9"/>
    </row>
    <row r="700" spans="3:5" x14ac:dyDescent="0.3">
      <c r="C700" s="9"/>
      <c r="D700" s="9"/>
      <c r="E700" s="9"/>
    </row>
    <row r="701" spans="3:5" x14ac:dyDescent="0.3">
      <c r="C701" s="9"/>
      <c r="D701" s="9"/>
      <c r="E701" s="9"/>
    </row>
    <row r="702" spans="3:5" x14ac:dyDescent="0.3">
      <c r="C702" s="9"/>
      <c r="D702" s="9"/>
      <c r="E702" s="9"/>
    </row>
    <row r="703" spans="3:5" x14ac:dyDescent="0.3">
      <c r="C703" s="9"/>
      <c r="D703" s="9"/>
      <c r="E703" s="9"/>
    </row>
    <row r="704" spans="3:5" x14ac:dyDescent="0.3">
      <c r="C704" s="9"/>
      <c r="D704" s="9"/>
      <c r="E704" s="9"/>
    </row>
    <row r="705" spans="3:5" x14ac:dyDescent="0.3">
      <c r="C705" s="9"/>
      <c r="D705" s="9"/>
      <c r="E705" s="9"/>
    </row>
    <row r="706" spans="3:5" x14ac:dyDescent="0.3">
      <c r="C706" s="9"/>
      <c r="D706" s="9"/>
      <c r="E706" s="9"/>
    </row>
    <row r="707" spans="3:5" x14ac:dyDescent="0.3">
      <c r="C707" s="9"/>
      <c r="D707" s="9"/>
      <c r="E707" s="9"/>
    </row>
    <row r="708" spans="3:5" x14ac:dyDescent="0.3">
      <c r="C708" s="9"/>
      <c r="D708" s="9"/>
      <c r="E708" s="9"/>
    </row>
    <row r="709" spans="3:5" x14ac:dyDescent="0.3">
      <c r="C709" s="9"/>
      <c r="D709" s="9"/>
      <c r="E709" s="9"/>
    </row>
    <row r="710" spans="3:5" x14ac:dyDescent="0.3">
      <c r="C710" s="9"/>
      <c r="D710" s="9"/>
      <c r="E710" s="9"/>
    </row>
    <row r="711" spans="3:5" x14ac:dyDescent="0.3">
      <c r="C711" s="9"/>
      <c r="D711" s="9"/>
      <c r="E711" s="9"/>
    </row>
    <row r="712" spans="3:5" x14ac:dyDescent="0.3">
      <c r="C712" s="9"/>
      <c r="D712" s="9"/>
      <c r="E712" s="9"/>
    </row>
    <row r="713" spans="3:5" x14ac:dyDescent="0.3">
      <c r="C713" s="9"/>
      <c r="D713" s="9"/>
      <c r="E713" s="9"/>
    </row>
    <row r="714" spans="3:5" x14ac:dyDescent="0.3">
      <c r="C714" s="9"/>
      <c r="D714" s="9"/>
      <c r="E714" s="9"/>
    </row>
    <row r="715" spans="3:5" x14ac:dyDescent="0.3">
      <c r="C715" s="9"/>
      <c r="D715" s="9"/>
      <c r="E715" s="9"/>
    </row>
    <row r="716" spans="3:5" x14ac:dyDescent="0.3">
      <c r="C716" s="9"/>
      <c r="D716" s="9"/>
      <c r="E716" s="9"/>
    </row>
    <row r="717" spans="3:5" x14ac:dyDescent="0.3">
      <c r="C717" s="9"/>
      <c r="D717" s="9"/>
      <c r="E717" s="9"/>
    </row>
    <row r="718" spans="3:5" x14ac:dyDescent="0.3">
      <c r="C718" s="9"/>
      <c r="D718" s="9"/>
      <c r="E718" s="9"/>
    </row>
    <row r="719" spans="3:5" x14ac:dyDescent="0.3">
      <c r="C719" s="9"/>
      <c r="D719" s="9"/>
      <c r="E719" s="9"/>
    </row>
    <row r="720" spans="3:5" x14ac:dyDescent="0.3">
      <c r="C720" s="9"/>
      <c r="D720" s="9"/>
      <c r="E720" s="9"/>
    </row>
    <row r="721" spans="3:5" x14ac:dyDescent="0.3">
      <c r="C721" s="9"/>
      <c r="D721" s="9"/>
      <c r="E721" s="9"/>
    </row>
    <row r="722" spans="3:5" x14ac:dyDescent="0.3">
      <c r="C722" s="9"/>
      <c r="D722" s="9"/>
      <c r="E722" s="9"/>
    </row>
    <row r="723" spans="3:5" x14ac:dyDescent="0.3">
      <c r="C723" s="9"/>
      <c r="D723" s="9"/>
      <c r="E723" s="9"/>
    </row>
    <row r="724" spans="3:5" x14ac:dyDescent="0.3">
      <c r="C724" s="9"/>
      <c r="D724" s="9"/>
      <c r="E724" s="9"/>
    </row>
    <row r="725" spans="3:5" x14ac:dyDescent="0.3">
      <c r="C725" s="9"/>
      <c r="D725" s="9"/>
      <c r="E725" s="9"/>
    </row>
    <row r="726" spans="3:5" x14ac:dyDescent="0.3">
      <c r="C726" s="9"/>
      <c r="D726" s="9"/>
      <c r="E726" s="9"/>
    </row>
    <row r="727" spans="3:5" x14ac:dyDescent="0.3">
      <c r="C727" s="9"/>
      <c r="D727" s="9"/>
      <c r="E727" s="9"/>
    </row>
    <row r="728" spans="3:5" x14ac:dyDescent="0.3">
      <c r="C728" s="9"/>
      <c r="D728" s="9"/>
      <c r="E728" s="9"/>
    </row>
    <row r="729" spans="3:5" x14ac:dyDescent="0.3">
      <c r="C729" s="9"/>
      <c r="D729" s="9"/>
      <c r="E729" s="9"/>
    </row>
    <row r="730" spans="3:5" x14ac:dyDescent="0.3">
      <c r="C730" s="9"/>
      <c r="D730" s="9"/>
      <c r="E730" s="9"/>
    </row>
    <row r="731" spans="3:5" x14ac:dyDescent="0.3">
      <c r="C731" s="9"/>
      <c r="D731" s="9"/>
      <c r="E731" s="9"/>
    </row>
    <row r="732" spans="3:5" x14ac:dyDescent="0.3">
      <c r="C732" s="9"/>
      <c r="D732" s="9"/>
      <c r="E732" s="9"/>
    </row>
    <row r="733" spans="3:5" x14ac:dyDescent="0.3">
      <c r="C733" s="9"/>
      <c r="D733" s="9"/>
      <c r="E733" s="9"/>
    </row>
    <row r="734" spans="3:5" x14ac:dyDescent="0.3">
      <c r="C734" s="9"/>
      <c r="D734" s="9"/>
      <c r="E734" s="9"/>
    </row>
    <row r="735" spans="3:5" x14ac:dyDescent="0.3">
      <c r="C735" s="9"/>
      <c r="D735" s="9"/>
      <c r="E735" s="9"/>
    </row>
    <row r="736" spans="3:5" x14ac:dyDescent="0.3">
      <c r="C736" s="9"/>
      <c r="D736" s="9"/>
      <c r="E736" s="9"/>
    </row>
    <row r="737" spans="3:5" x14ac:dyDescent="0.3">
      <c r="C737" s="9"/>
      <c r="D737" s="9"/>
      <c r="E737" s="9"/>
    </row>
    <row r="738" spans="3:5" x14ac:dyDescent="0.3">
      <c r="C738" s="9"/>
      <c r="D738" s="9"/>
      <c r="E738" s="9"/>
    </row>
    <row r="739" spans="3:5" x14ac:dyDescent="0.3">
      <c r="C739" s="9"/>
      <c r="D739" s="9"/>
      <c r="E739" s="9"/>
    </row>
    <row r="740" spans="3:5" x14ac:dyDescent="0.3">
      <c r="C740" s="9"/>
      <c r="D740" s="9"/>
      <c r="E740" s="9"/>
    </row>
    <row r="741" spans="3:5" x14ac:dyDescent="0.3">
      <c r="C741" s="9"/>
      <c r="D741" s="9"/>
      <c r="E741" s="9"/>
    </row>
    <row r="742" spans="3:5" x14ac:dyDescent="0.3">
      <c r="C742" s="9"/>
      <c r="D742" s="9"/>
      <c r="E742" s="9"/>
    </row>
    <row r="743" spans="3:5" x14ac:dyDescent="0.3">
      <c r="C743" s="9"/>
      <c r="D743" s="9"/>
      <c r="E743" s="9"/>
    </row>
    <row r="744" spans="3:5" x14ac:dyDescent="0.3">
      <c r="C744" s="9"/>
      <c r="D744" s="9"/>
      <c r="E744" s="9"/>
    </row>
    <row r="745" spans="3:5" x14ac:dyDescent="0.3">
      <c r="C745" s="9"/>
      <c r="D745" s="9"/>
      <c r="E745" s="9"/>
    </row>
    <row r="746" spans="3:5" x14ac:dyDescent="0.3">
      <c r="C746" s="9"/>
      <c r="D746" s="9"/>
      <c r="E746" s="9"/>
    </row>
    <row r="747" spans="3:5" x14ac:dyDescent="0.3">
      <c r="C747" s="9"/>
      <c r="D747" s="9"/>
      <c r="E747" s="9"/>
    </row>
    <row r="748" spans="3:5" x14ac:dyDescent="0.3">
      <c r="C748" s="9"/>
      <c r="D748" s="9"/>
      <c r="E748" s="9"/>
    </row>
    <row r="749" spans="3:5" x14ac:dyDescent="0.3">
      <c r="C749" s="9"/>
      <c r="D749" s="9"/>
      <c r="E749" s="9"/>
    </row>
    <row r="750" spans="3:5" x14ac:dyDescent="0.3">
      <c r="C750" s="9"/>
      <c r="D750" s="9"/>
      <c r="E750" s="9"/>
    </row>
    <row r="751" spans="3:5" x14ac:dyDescent="0.3">
      <c r="C751" s="9"/>
      <c r="D751" s="9"/>
      <c r="E751" s="9"/>
    </row>
    <row r="752" spans="3:5" x14ac:dyDescent="0.3">
      <c r="C752" s="9"/>
      <c r="D752" s="9"/>
      <c r="E752" s="9"/>
    </row>
    <row r="753" spans="3:5" x14ac:dyDescent="0.3">
      <c r="C753" s="9"/>
      <c r="D753" s="9"/>
      <c r="E753" s="9"/>
    </row>
    <row r="754" spans="3:5" x14ac:dyDescent="0.3">
      <c r="C754" s="9"/>
      <c r="D754" s="9"/>
      <c r="E754" s="9"/>
    </row>
    <row r="755" spans="3:5" x14ac:dyDescent="0.3">
      <c r="C755" s="9"/>
      <c r="D755" s="9"/>
      <c r="E755" s="9"/>
    </row>
    <row r="756" spans="3:5" x14ac:dyDescent="0.3">
      <c r="C756" s="9"/>
      <c r="D756" s="9"/>
      <c r="E756" s="9"/>
    </row>
    <row r="757" spans="3:5" x14ac:dyDescent="0.3">
      <c r="C757" s="9"/>
      <c r="D757" s="9"/>
      <c r="E757" s="9"/>
    </row>
    <row r="758" spans="3:5" x14ac:dyDescent="0.3">
      <c r="C758" s="9"/>
      <c r="D758" s="9"/>
      <c r="E758" s="9"/>
    </row>
    <row r="759" spans="3:5" x14ac:dyDescent="0.3">
      <c r="C759" s="9"/>
      <c r="D759" s="9"/>
      <c r="E759" s="9"/>
    </row>
    <row r="760" spans="3:5" x14ac:dyDescent="0.3">
      <c r="C760" s="9"/>
      <c r="D760" s="9"/>
      <c r="E760" s="9"/>
    </row>
    <row r="761" spans="3:5" x14ac:dyDescent="0.3">
      <c r="C761" s="9"/>
      <c r="D761" s="9"/>
      <c r="E761" s="9"/>
    </row>
    <row r="762" spans="3:5" x14ac:dyDescent="0.3">
      <c r="C762" s="9"/>
      <c r="D762" s="9"/>
      <c r="E762" s="9"/>
    </row>
    <row r="763" spans="3:5" x14ac:dyDescent="0.3">
      <c r="C763" s="9"/>
      <c r="D763" s="9"/>
      <c r="E763" s="9"/>
    </row>
    <row r="764" spans="3:5" x14ac:dyDescent="0.3">
      <c r="C764" s="9"/>
      <c r="D764" s="9"/>
      <c r="E764" s="9"/>
    </row>
    <row r="765" spans="3:5" x14ac:dyDescent="0.3">
      <c r="C765" s="9"/>
      <c r="D765" s="9"/>
      <c r="E765" s="9"/>
    </row>
    <row r="766" spans="3:5" x14ac:dyDescent="0.3">
      <c r="C766" s="9"/>
      <c r="D766" s="9"/>
      <c r="E766" s="9"/>
    </row>
    <row r="767" spans="3:5" x14ac:dyDescent="0.3">
      <c r="C767" s="9"/>
      <c r="D767" s="9"/>
      <c r="E767" s="9"/>
    </row>
    <row r="768" spans="3:5" x14ac:dyDescent="0.3">
      <c r="C768" s="9"/>
      <c r="D768" s="9"/>
      <c r="E768" s="9"/>
    </row>
    <row r="769" spans="3:5" x14ac:dyDescent="0.3">
      <c r="C769" s="9"/>
      <c r="D769" s="9"/>
      <c r="E769" s="9"/>
    </row>
    <row r="770" spans="3:5" x14ac:dyDescent="0.3">
      <c r="C770" s="9"/>
      <c r="D770" s="9"/>
      <c r="E770" s="9"/>
    </row>
    <row r="771" spans="3:5" x14ac:dyDescent="0.3">
      <c r="C771" s="9"/>
      <c r="D771" s="9"/>
      <c r="E771" s="9"/>
    </row>
    <row r="772" spans="3:5" x14ac:dyDescent="0.3">
      <c r="C772" s="9"/>
      <c r="D772" s="9"/>
      <c r="E772" s="9"/>
    </row>
    <row r="773" spans="3:5" x14ac:dyDescent="0.3">
      <c r="C773" s="9"/>
      <c r="D773" s="9"/>
      <c r="E773" s="9"/>
    </row>
    <row r="774" spans="3:5" x14ac:dyDescent="0.3">
      <c r="C774" s="9"/>
      <c r="D774" s="9"/>
      <c r="E774" s="9"/>
    </row>
    <row r="775" spans="3:5" x14ac:dyDescent="0.3">
      <c r="C775" s="9"/>
      <c r="D775" s="9"/>
      <c r="E775" s="9"/>
    </row>
    <row r="776" spans="3:5" x14ac:dyDescent="0.3">
      <c r="C776" s="9"/>
      <c r="D776" s="9"/>
      <c r="E776" s="9"/>
    </row>
    <row r="777" spans="3:5" x14ac:dyDescent="0.3">
      <c r="C777" s="9"/>
      <c r="D777" s="9"/>
      <c r="E777" s="9"/>
    </row>
    <row r="778" spans="3:5" x14ac:dyDescent="0.3">
      <c r="C778" s="9"/>
      <c r="D778" s="9"/>
      <c r="E778" s="9"/>
    </row>
    <row r="779" spans="3:5" x14ac:dyDescent="0.3">
      <c r="C779" s="9"/>
      <c r="D779" s="9"/>
      <c r="E779" s="9"/>
    </row>
    <row r="780" spans="3:5" x14ac:dyDescent="0.3">
      <c r="C780" s="9"/>
      <c r="D780" s="9"/>
      <c r="E780" s="9"/>
    </row>
    <row r="781" spans="3:5" x14ac:dyDescent="0.3">
      <c r="C781" s="9"/>
      <c r="D781" s="9"/>
      <c r="E781" s="9"/>
    </row>
    <row r="782" spans="3:5" x14ac:dyDescent="0.3">
      <c r="C782" s="9"/>
      <c r="D782" s="9"/>
      <c r="E782" s="9"/>
    </row>
    <row r="783" spans="3:5" x14ac:dyDescent="0.3">
      <c r="C783" s="9"/>
      <c r="D783" s="9"/>
      <c r="E783" s="9"/>
    </row>
    <row r="784" spans="3:5" x14ac:dyDescent="0.3">
      <c r="C784" s="9"/>
      <c r="D784" s="9"/>
      <c r="E784" s="9"/>
    </row>
    <row r="785" spans="3:5" x14ac:dyDescent="0.3">
      <c r="C785" s="9"/>
      <c r="D785" s="9"/>
      <c r="E785" s="9"/>
    </row>
    <row r="786" spans="3:5" x14ac:dyDescent="0.3">
      <c r="C786" s="9"/>
      <c r="D786" s="9"/>
      <c r="E786" s="9"/>
    </row>
    <row r="787" spans="3:5" x14ac:dyDescent="0.3">
      <c r="C787" s="9"/>
      <c r="D787" s="9"/>
      <c r="E787" s="9"/>
    </row>
    <row r="788" spans="3:5" x14ac:dyDescent="0.3">
      <c r="C788" s="9"/>
      <c r="D788" s="9"/>
      <c r="E788" s="9"/>
    </row>
    <row r="789" spans="3:5" x14ac:dyDescent="0.3">
      <c r="C789" s="9"/>
      <c r="D789" s="9"/>
      <c r="E789" s="9"/>
    </row>
    <row r="790" spans="3:5" x14ac:dyDescent="0.3">
      <c r="C790" s="9"/>
      <c r="D790" s="9"/>
      <c r="E790" s="9"/>
    </row>
    <row r="791" spans="3:5" x14ac:dyDescent="0.3">
      <c r="C791" s="9"/>
      <c r="D791" s="9"/>
      <c r="E791" s="9"/>
    </row>
    <row r="792" spans="3:5" x14ac:dyDescent="0.3">
      <c r="C792" s="9"/>
      <c r="D792" s="9"/>
      <c r="E792" s="9"/>
    </row>
    <row r="793" spans="3:5" x14ac:dyDescent="0.3">
      <c r="C793" s="9"/>
      <c r="D793" s="9"/>
      <c r="E793" s="9"/>
    </row>
    <row r="794" spans="3:5" x14ac:dyDescent="0.3">
      <c r="C794" s="9"/>
      <c r="D794" s="9"/>
      <c r="E794" s="9"/>
    </row>
    <row r="795" spans="3:5" x14ac:dyDescent="0.3">
      <c r="C795" s="9"/>
      <c r="D795" s="9"/>
      <c r="E795" s="9"/>
    </row>
    <row r="796" spans="3:5" x14ac:dyDescent="0.3">
      <c r="C796" s="9"/>
      <c r="D796" s="9"/>
      <c r="E796" s="9"/>
    </row>
    <row r="797" spans="3:5" x14ac:dyDescent="0.3">
      <c r="C797" s="9"/>
      <c r="D797" s="9"/>
      <c r="E797" s="9"/>
    </row>
    <row r="798" spans="3:5" x14ac:dyDescent="0.3">
      <c r="C798" s="9"/>
      <c r="D798" s="9"/>
      <c r="E798" s="9"/>
    </row>
    <row r="799" spans="3:5" x14ac:dyDescent="0.3">
      <c r="C799" s="9"/>
      <c r="D799" s="9"/>
      <c r="E799" s="9"/>
    </row>
    <row r="800" spans="3:5" x14ac:dyDescent="0.3">
      <c r="C800" s="9"/>
      <c r="D800" s="9"/>
      <c r="E800" s="9"/>
    </row>
    <row r="801" spans="3:5" x14ac:dyDescent="0.3">
      <c r="C801" s="9"/>
      <c r="D801" s="9"/>
      <c r="E801" s="9"/>
    </row>
    <row r="802" spans="3:5" x14ac:dyDescent="0.3">
      <c r="C802" s="9"/>
      <c r="D802" s="9"/>
      <c r="E802" s="9"/>
    </row>
    <row r="803" spans="3:5" x14ac:dyDescent="0.3">
      <c r="C803" s="9"/>
      <c r="D803" s="9"/>
      <c r="E803" s="9"/>
    </row>
    <row r="804" spans="3:5" x14ac:dyDescent="0.3">
      <c r="C804" s="9"/>
      <c r="D804" s="9"/>
      <c r="E804" s="9"/>
    </row>
    <row r="805" spans="3:5" x14ac:dyDescent="0.3">
      <c r="C805" s="9"/>
      <c r="D805" s="9"/>
      <c r="E805" s="9"/>
    </row>
    <row r="806" spans="3:5" x14ac:dyDescent="0.3">
      <c r="C806" s="9"/>
      <c r="D806" s="9"/>
      <c r="E806" s="9"/>
    </row>
    <row r="807" spans="3:5" x14ac:dyDescent="0.3">
      <c r="C807" s="9"/>
      <c r="D807" s="9"/>
      <c r="E807" s="9"/>
    </row>
    <row r="808" spans="3:5" x14ac:dyDescent="0.3">
      <c r="C808" s="9"/>
      <c r="D808" s="9"/>
      <c r="E808" s="9"/>
    </row>
    <row r="809" spans="3:5" x14ac:dyDescent="0.3">
      <c r="C809" s="9"/>
      <c r="D809" s="9"/>
      <c r="E809" s="9"/>
    </row>
    <row r="810" spans="3:5" x14ac:dyDescent="0.3">
      <c r="C810" s="9"/>
      <c r="D810" s="9"/>
      <c r="E810" s="9"/>
    </row>
    <row r="811" spans="3:5" x14ac:dyDescent="0.3">
      <c r="C811" s="9"/>
      <c r="D811" s="9"/>
      <c r="E811" s="9"/>
    </row>
    <row r="812" spans="3:5" x14ac:dyDescent="0.3">
      <c r="C812" s="9"/>
      <c r="D812" s="9"/>
      <c r="E812" s="9"/>
    </row>
    <row r="813" spans="3:5" x14ac:dyDescent="0.3">
      <c r="C813" s="9"/>
      <c r="D813" s="9"/>
      <c r="E813" s="9"/>
    </row>
    <row r="814" spans="3:5" x14ac:dyDescent="0.3">
      <c r="C814" s="9"/>
      <c r="D814" s="9"/>
      <c r="E814" s="9"/>
    </row>
    <row r="815" spans="3:5" x14ac:dyDescent="0.3">
      <c r="C815" s="9"/>
      <c r="D815" s="9"/>
      <c r="E815" s="9"/>
    </row>
    <row r="816" spans="3:5" x14ac:dyDescent="0.3">
      <c r="C816" s="9"/>
      <c r="D816" s="9"/>
      <c r="E816" s="9"/>
    </row>
    <row r="817" spans="3:5" x14ac:dyDescent="0.3">
      <c r="C817" s="9"/>
      <c r="D817" s="9"/>
      <c r="E817" s="9"/>
    </row>
    <row r="818" spans="3:5" x14ac:dyDescent="0.3">
      <c r="C818" s="9"/>
      <c r="D818" s="9"/>
      <c r="E818" s="9"/>
    </row>
    <row r="819" spans="3:5" x14ac:dyDescent="0.3">
      <c r="C819" s="9"/>
      <c r="D819" s="9"/>
      <c r="E819" s="9"/>
    </row>
    <row r="820" spans="3:5" x14ac:dyDescent="0.3">
      <c r="C820" s="9"/>
      <c r="D820" s="9"/>
      <c r="E820" s="9"/>
    </row>
    <row r="821" spans="3:5" x14ac:dyDescent="0.3">
      <c r="C821" s="9"/>
      <c r="D821" s="9"/>
      <c r="E821" s="9"/>
    </row>
    <row r="822" spans="3:5" x14ac:dyDescent="0.3">
      <c r="C822" s="9"/>
      <c r="D822" s="9"/>
      <c r="E822" s="9"/>
    </row>
    <row r="823" spans="3:5" x14ac:dyDescent="0.3">
      <c r="C823" s="9"/>
      <c r="D823" s="9"/>
      <c r="E823" s="9"/>
    </row>
    <row r="824" spans="3:5" x14ac:dyDescent="0.3">
      <c r="C824" s="9"/>
      <c r="D824" s="9"/>
      <c r="E824" s="9"/>
    </row>
    <row r="825" spans="3:5" x14ac:dyDescent="0.3">
      <c r="C825" s="9"/>
      <c r="D825" s="9"/>
      <c r="E825" s="9"/>
    </row>
    <row r="826" spans="3:5" x14ac:dyDescent="0.3">
      <c r="C826" s="9"/>
      <c r="D826" s="9"/>
      <c r="E826" s="9"/>
    </row>
    <row r="827" spans="3:5" x14ac:dyDescent="0.3">
      <c r="C827" s="9"/>
      <c r="D827" s="9"/>
      <c r="E827" s="9"/>
    </row>
    <row r="828" spans="3:5" x14ac:dyDescent="0.3">
      <c r="C828" s="9"/>
      <c r="D828" s="9"/>
      <c r="E828" s="9"/>
    </row>
    <row r="829" spans="3:5" x14ac:dyDescent="0.3">
      <c r="C829" s="9"/>
      <c r="D829" s="9"/>
      <c r="E829" s="9"/>
    </row>
    <row r="830" spans="3:5" x14ac:dyDescent="0.3">
      <c r="C830" s="9"/>
      <c r="D830" s="9"/>
      <c r="E830" s="9"/>
    </row>
    <row r="831" spans="3:5" x14ac:dyDescent="0.3">
      <c r="C831" s="9"/>
      <c r="D831" s="9"/>
      <c r="E831" s="9"/>
    </row>
    <row r="832" spans="3:5" x14ac:dyDescent="0.3">
      <c r="C832" s="9"/>
      <c r="D832" s="9"/>
      <c r="E832" s="9"/>
    </row>
    <row r="833" spans="3:5" x14ac:dyDescent="0.3">
      <c r="C833" s="9"/>
      <c r="D833" s="9"/>
      <c r="E833" s="9"/>
    </row>
    <row r="834" spans="3:5" x14ac:dyDescent="0.3">
      <c r="C834" s="9"/>
      <c r="D834" s="9"/>
      <c r="E834" s="9"/>
    </row>
    <row r="835" spans="3:5" x14ac:dyDescent="0.3">
      <c r="C835" s="9"/>
      <c r="D835" s="9"/>
      <c r="E835" s="9"/>
    </row>
    <row r="836" spans="3:5" x14ac:dyDescent="0.3">
      <c r="C836" s="9"/>
      <c r="D836" s="9"/>
      <c r="E836" s="9"/>
    </row>
    <row r="837" spans="3:5" x14ac:dyDescent="0.3">
      <c r="C837" s="9"/>
      <c r="D837" s="9"/>
      <c r="E837" s="9"/>
    </row>
    <row r="838" spans="3:5" x14ac:dyDescent="0.3">
      <c r="C838" s="9"/>
      <c r="D838" s="9"/>
      <c r="E838" s="9"/>
    </row>
    <row r="839" spans="3:5" x14ac:dyDescent="0.3">
      <c r="C839" s="9"/>
      <c r="D839" s="9"/>
      <c r="E839" s="9"/>
    </row>
    <row r="840" spans="3:5" x14ac:dyDescent="0.3">
      <c r="C840" s="9"/>
      <c r="D840" s="9"/>
      <c r="E840" s="9"/>
    </row>
    <row r="841" spans="3:5" x14ac:dyDescent="0.3">
      <c r="C841" s="9"/>
      <c r="D841" s="9"/>
      <c r="E841" s="9"/>
    </row>
    <row r="842" spans="3:5" x14ac:dyDescent="0.3">
      <c r="C842" s="9"/>
      <c r="D842" s="9"/>
      <c r="E842" s="9"/>
    </row>
    <row r="843" spans="3:5" x14ac:dyDescent="0.3">
      <c r="C843" s="9"/>
      <c r="D843" s="9"/>
      <c r="E843" s="9"/>
    </row>
    <row r="844" spans="3:5" x14ac:dyDescent="0.3">
      <c r="C844" s="9"/>
      <c r="D844" s="9"/>
      <c r="E844" s="9"/>
    </row>
    <row r="845" spans="3:5" x14ac:dyDescent="0.3">
      <c r="C845" s="9"/>
      <c r="D845" s="9"/>
      <c r="E845" s="9"/>
    </row>
    <row r="846" spans="3:5" x14ac:dyDescent="0.3">
      <c r="C846" s="9"/>
      <c r="D846" s="9"/>
      <c r="E846" s="9"/>
    </row>
    <row r="847" spans="3:5" x14ac:dyDescent="0.3">
      <c r="C847" s="9"/>
      <c r="D847" s="9"/>
      <c r="E847" s="9"/>
    </row>
    <row r="848" spans="3:5" x14ac:dyDescent="0.3">
      <c r="C848" s="9"/>
      <c r="D848" s="9"/>
      <c r="E848" s="9"/>
    </row>
    <row r="849" spans="3:5" x14ac:dyDescent="0.3">
      <c r="C849" s="9"/>
      <c r="D849" s="9"/>
      <c r="E849" s="9"/>
    </row>
    <row r="850" spans="3:5" x14ac:dyDescent="0.3">
      <c r="C850" s="9"/>
      <c r="D850" s="9"/>
      <c r="E850" s="9"/>
    </row>
    <row r="851" spans="3:5" x14ac:dyDescent="0.3">
      <c r="C851" s="9"/>
      <c r="D851" s="9"/>
      <c r="E851" s="9"/>
    </row>
    <row r="852" spans="3:5" x14ac:dyDescent="0.3">
      <c r="C852" s="9"/>
      <c r="D852" s="9"/>
      <c r="E852" s="9"/>
    </row>
    <row r="853" spans="3:5" x14ac:dyDescent="0.3">
      <c r="C853" s="9"/>
      <c r="D853" s="9"/>
      <c r="E853" s="9"/>
    </row>
    <row r="854" spans="3:5" x14ac:dyDescent="0.3">
      <c r="C854" s="9"/>
      <c r="D854" s="9"/>
      <c r="E854" s="9"/>
    </row>
    <row r="855" spans="3:5" x14ac:dyDescent="0.3">
      <c r="C855" s="9"/>
      <c r="D855" s="9"/>
      <c r="E855" s="9"/>
    </row>
    <row r="856" spans="3:5" x14ac:dyDescent="0.3">
      <c r="C856" s="9"/>
      <c r="D856" s="9"/>
      <c r="E856" s="9"/>
    </row>
    <row r="857" spans="3:5" x14ac:dyDescent="0.3">
      <c r="C857" s="9"/>
      <c r="D857" s="9"/>
      <c r="E857" s="9"/>
    </row>
    <row r="858" spans="3:5" x14ac:dyDescent="0.3">
      <c r="C858" s="9"/>
      <c r="D858" s="9"/>
      <c r="E858" s="9"/>
    </row>
    <row r="859" spans="3:5" x14ac:dyDescent="0.3">
      <c r="C859" s="9"/>
      <c r="D859" s="9"/>
      <c r="E859" s="9"/>
    </row>
    <row r="860" spans="3:5" x14ac:dyDescent="0.3">
      <c r="C860" s="9"/>
      <c r="D860" s="9"/>
      <c r="E860" s="9"/>
    </row>
    <row r="861" spans="3:5" x14ac:dyDescent="0.3">
      <c r="C861" s="9"/>
      <c r="D861" s="9"/>
      <c r="E861" s="9"/>
    </row>
    <row r="862" spans="3:5" x14ac:dyDescent="0.3">
      <c r="C862" s="9"/>
      <c r="D862" s="9"/>
      <c r="E862" s="9"/>
    </row>
    <row r="863" spans="3:5" x14ac:dyDescent="0.3">
      <c r="C863" s="9"/>
      <c r="D863" s="9"/>
      <c r="E863" s="9"/>
    </row>
    <row r="864" spans="3:5" x14ac:dyDescent="0.3">
      <c r="C864" s="9"/>
      <c r="D864" s="9"/>
      <c r="E864" s="9"/>
    </row>
    <row r="865" spans="3:5" x14ac:dyDescent="0.3">
      <c r="C865" s="9"/>
      <c r="D865" s="9"/>
      <c r="E865" s="9"/>
    </row>
    <row r="866" spans="3:5" x14ac:dyDescent="0.3">
      <c r="C866" s="9"/>
      <c r="D866" s="9"/>
      <c r="E866" s="9"/>
    </row>
    <row r="867" spans="3:5" x14ac:dyDescent="0.3">
      <c r="C867" s="9"/>
      <c r="D867" s="9"/>
      <c r="E867" s="9"/>
    </row>
    <row r="868" spans="3:5" x14ac:dyDescent="0.3">
      <c r="C868" s="9"/>
      <c r="D868" s="9"/>
      <c r="E868" s="9"/>
    </row>
    <row r="869" spans="3:5" x14ac:dyDescent="0.3">
      <c r="C869" s="9"/>
      <c r="D869" s="9"/>
      <c r="E869" s="9"/>
    </row>
    <row r="870" spans="3:5" x14ac:dyDescent="0.3">
      <c r="C870" s="9"/>
      <c r="D870" s="9"/>
      <c r="E870" s="9"/>
    </row>
    <row r="871" spans="3:5" x14ac:dyDescent="0.3">
      <c r="C871" s="9"/>
      <c r="D871" s="9"/>
      <c r="E871" s="9"/>
    </row>
    <row r="872" spans="3:5" x14ac:dyDescent="0.3">
      <c r="C872" s="9"/>
      <c r="D872" s="9"/>
      <c r="E872" s="9"/>
    </row>
    <row r="873" spans="3:5" x14ac:dyDescent="0.3">
      <c r="C873" s="9"/>
      <c r="D873" s="9"/>
      <c r="E873" s="9"/>
    </row>
    <row r="874" spans="3:5" x14ac:dyDescent="0.3">
      <c r="C874" s="9"/>
      <c r="D874" s="9"/>
      <c r="E874" s="9"/>
    </row>
    <row r="875" spans="3:5" x14ac:dyDescent="0.3">
      <c r="C875" s="9"/>
      <c r="D875" s="9"/>
      <c r="E875" s="9"/>
    </row>
    <row r="876" spans="3:5" x14ac:dyDescent="0.3">
      <c r="C876" s="9"/>
      <c r="D876" s="9"/>
      <c r="E876" s="9"/>
    </row>
    <row r="877" spans="3:5" x14ac:dyDescent="0.3">
      <c r="C877" s="9"/>
      <c r="D877" s="9"/>
      <c r="E877" s="9"/>
    </row>
    <row r="878" spans="3:5" x14ac:dyDescent="0.3">
      <c r="C878" s="9"/>
      <c r="D878" s="9"/>
      <c r="E878" s="9"/>
    </row>
    <row r="879" spans="3:5" x14ac:dyDescent="0.3">
      <c r="C879" s="9"/>
      <c r="D879" s="9"/>
      <c r="E879" s="9"/>
    </row>
    <row r="880" spans="3:5" x14ac:dyDescent="0.3">
      <c r="C880" s="9"/>
      <c r="D880" s="9"/>
      <c r="E880" s="9"/>
    </row>
    <row r="881" spans="3:5" x14ac:dyDescent="0.3">
      <c r="C881" s="9"/>
      <c r="D881" s="9"/>
      <c r="E881" s="9"/>
    </row>
    <row r="882" spans="3:5" x14ac:dyDescent="0.3">
      <c r="C882" s="9"/>
      <c r="D882" s="9"/>
      <c r="E882" s="9"/>
    </row>
    <row r="883" spans="3:5" x14ac:dyDescent="0.3">
      <c r="C883" s="9"/>
      <c r="D883" s="9"/>
      <c r="E883" s="9"/>
    </row>
    <row r="884" spans="3:5" x14ac:dyDescent="0.3">
      <c r="C884" s="9"/>
      <c r="D884" s="9"/>
      <c r="E884" s="9"/>
    </row>
    <row r="885" spans="3:5" x14ac:dyDescent="0.3">
      <c r="C885" s="9"/>
      <c r="D885" s="9"/>
      <c r="E885" s="9"/>
    </row>
    <row r="886" spans="3:5" x14ac:dyDescent="0.3">
      <c r="C886" s="9"/>
      <c r="D886" s="9"/>
      <c r="E886" s="9"/>
    </row>
    <row r="887" spans="3:5" x14ac:dyDescent="0.3">
      <c r="C887" s="9"/>
      <c r="D887" s="9"/>
      <c r="E887" s="9"/>
    </row>
    <row r="888" spans="3:5" x14ac:dyDescent="0.3">
      <c r="C888" s="9"/>
      <c r="D888" s="9"/>
      <c r="E888" s="9"/>
    </row>
    <row r="889" spans="3:5" x14ac:dyDescent="0.3">
      <c r="C889" s="9"/>
      <c r="D889" s="9"/>
      <c r="E889" s="9"/>
    </row>
    <row r="890" spans="3:5" x14ac:dyDescent="0.3">
      <c r="C890" s="9"/>
      <c r="D890" s="9"/>
      <c r="E890" s="9"/>
    </row>
    <row r="891" spans="3:5" x14ac:dyDescent="0.3">
      <c r="C891" s="9"/>
      <c r="D891" s="9"/>
      <c r="E891" s="9"/>
    </row>
    <row r="892" spans="3:5" x14ac:dyDescent="0.3">
      <c r="C892" s="9"/>
      <c r="D892" s="9"/>
      <c r="E892" s="9"/>
    </row>
    <row r="893" spans="3:5" x14ac:dyDescent="0.3">
      <c r="C893" s="9"/>
      <c r="D893" s="9"/>
      <c r="E893" s="9"/>
    </row>
    <row r="894" spans="3:5" x14ac:dyDescent="0.3">
      <c r="C894" s="9"/>
      <c r="D894" s="9"/>
      <c r="E894" s="9"/>
    </row>
    <row r="895" spans="3:5" x14ac:dyDescent="0.3">
      <c r="C895" s="9"/>
      <c r="D895" s="9"/>
      <c r="E895" s="9"/>
    </row>
    <row r="896" spans="3:5" x14ac:dyDescent="0.3">
      <c r="C896" s="9"/>
      <c r="D896" s="9"/>
      <c r="E896" s="9"/>
    </row>
    <row r="897" spans="3:5" x14ac:dyDescent="0.3">
      <c r="C897" s="9"/>
      <c r="D897" s="9"/>
      <c r="E897" s="9"/>
    </row>
    <row r="898" spans="3:5" x14ac:dyDescent="0.3">
      <c r="C898" s="9"/>
      <c r="D898" s="9"/>
      <c r="E898" s="9"/>
    </row>
    <row r="899" spans="3:5" x14ac:dyDescent="0.3">
      <c r="C899" s="9"/>
      <c r="D899" s="9"/>
      <c r="E899" s="9"/>
    </row>
    <row r="900" spans="3:5" x14ac:dyDescent="0.3">
      <c r="C900" s="9"/>
      <c r="D900" s="9"/>
      <c r="E900" s="9"/>
    </row>
    <row r="901" spans="3:5" x14ac:dyDescent="0.3">
      <c r="C901" s="9"/>
      <c r="D901" s="9"/>
      <c r="E901" s="9"/>
    </row>
    <row r="902" spans="3:5" x14ac:dyDescent="0.3">
      <c r="C902" s="9"/>
      <c r="D902" s="9"/>
      <c r="E902" s="9"/>
    </row>
    <row r="903" spans="3:5" x14ac:dyDescent="0.3">
      <c r="C903" s="9"/>
      <c r="D903" s="9"/>
      <c r="E903" s="9"/>
    </row>
    <row r="904" spans="3:5" x14ac:dyDescent="0.3">
      <c r="C904" s="9"/>
      <c r="D904" s="9"/>
      <c r="E904" s="9"/>
    </row>
    <row r="905" spans="3:5" x14ac:dyDescent="0.3">
      <c r="C905" s="9"/>
      <c r="D905" s="9"/>
      <c r="E905" s="9"/>
    </row>
    <row r="906" spans="3:5" x14ac:dyDescent="0.3">
      <c r="C906" s="9"/>
      <c r="D906" s="9"/>
      <c r="E906" s="9"/>
    </row>
    <row r="907" spans="3:5" x14ac:dyDescent="0.3">
      <c r="C907" s="9"/>
      <c r="D907" s="9"/>
      <c r="E907" s="9"/>
    </row>
    <row r="908" spans="3:5" x14ac:dyDescent="0.3">
      <c r="C908" s="9"/>
      <c r="D908" s="9"/>
      <c r="E908" s="9"/>
    </row>
    <row r="909" spans="3:5" x14ac:dyDescent="0.3">
      <c r="C909" s="9"/>
      <c r="D909" s="9"/>
      <c r="E909" s="9"/>
    </row>
    <row r="910" spans="3:5" x14ac:dyDescent="0.3">
      <c r="C910" s="9"/>
      <c r="D910" s="9"/>
      <c r="E910" s="9"/>
    </row>
    <row r="911" spans="3:5" x14ac:dyDescent="0.3">
      <c r="C911" s="9"/>
      <c r="D911" s="9"/>
      <c r="E911" s="9"/>
    </row>
    <row r="912" spans="3:5" x14ac:dyDescent="0.3">
      <c r="C912" s="9"/>
      <c r="D912" s="9"/>
      <c r="E912" s="9"/>
    </row>
    <row r="913" spans="3:5" x14ac:dyDescent="0.3">
      <c r="C913" s="9"/>
      <c r="D913" s="9"/>
      <c r="E913" s="9"/>
    </row>
    <row r="914" spans="3:5" x14ac:dyDescent="0.3">
      <c r="C914" s="9"/>
      <c r="D914" s="9"/>
      <c r="E914" s="9"/>
    </row>
    <row r="915" spans="3:5" x14ac:dyDescent="0.3">
      <c r="C915" s="9"/>
      <c r="D915" s="9"/>
      <c r="E915" s="9"/>
    </row>
    <row r="916" spans="3:5" x14ac:dyDescent="0.3">
      <c r="C916" s="9"/>
      <c r="D916" s="9"/>
      <c r="E916" s="9"/>
    </row>
    <row r="917" spans="3:5" x14ac:dyDescent="0.3">
      <c r="C917" s="9"/>
      <c r="D917" s="9"/>
      <c r="E917" s="9"/>
    </row>
    <row r="918" spans="3:5" x14ac:dyDescent="0.3">
      <c r="C918" s="9"/>
      <c r="D918" s="9"/>
      <c r="E918" s="9"/>
    </row>
    <row r="919" spans="3:5" x14ac:dyDescent="0.3">
      <c r="C919" s="9"/>
      <c r="D919" s="9"/>
      <c r="E919" s="9"/>
    </row>
    <row r="920" spans="3:5" x14ac:dyDescent="0.3">
      <c r="C920" s="9"/>
      <c r="D920" s="9"/>
      <c r="E920" s="9"/>
    </row>
    <row r="921" spans="3:5" x14ac:dyDescent="0.3">
      <c r="C921" s="9"/>
      <c r="D921" s="9"/>
      <c r="E921" s="9"/>
    </row>
    <row r="922" spans="3:5" x14ac:dyDescent="0.3">
      <c r="C922" s="9"/>
      <c r="D922" s="9"/>
      <c r="E922" s="9"/>
    </row>
    <row r="923" spans="3:5" x14ac:dyDescent="0.3">
      <c r="C923" s="9"/>
      <c r="D923" s="9"/>
      <c r="E923" s="9"/>
    </row>
    <row r="924" spans="3:5" x14ac:dyDescent="0.3">
      <c r="C924" s="9"/>
      <c r="D924" s="9"/>
      <c r="E924" s="9"/>
    </row>
    <row r="925" spans="3:5" x14ac:dyDescent="0.3">
      <c r="C925" s="9"/>
      <c r="D925" s="9"/>
      <c r="E925" s="9"/>
    </row>
    <row r="926" spans="3:5" x14ac:dyDescent="0.3">
      <c r="C926" s="9"/>
      <c r="D926" s="9"/>
      <c r="E926" s="9"/>
    </row>
    <row r="927" spans="3:5" x14ac:dyDescent="0.3">
      <c r="C927" s="9"/>
      <c r="D927" s="9"/>
      <c r="E927" s="9"/>
    </row>
    <row r="928" spans="3:5" x14ac:dyDescent="0.3">
      <c r="C928" s="9"/>
      <c r="D928" s="9"/>
      <c r="E928" s="9"/>
    </row>
    <row r="929" spans="3:5" x14ac:dyDescent="0.3">
      <c r="C929" s="9"/>
      <c r="D929" s="9"/>
      <c r="E929" s="9"/>
    </row>
    <row r="930" spans="3:5" x14ac:dyDescent="0.3">
      <c r="C930" s="9"/>
      <c r="D930" s="9"/>
      <c r="E930" s="9"/>
    </row>
    <row r="931" spans="3:5" x14ac:dyDescent="0.3">
      <c r="C931" s="9"/>
      <c r="D931" s="9"/>
      <c r="E931" s="9"/>
    </row>
    <row r="932" spans="3:5" x14ac:dyDescent="0.3">
      <c r="C932" s="9"/>
      <c r="D932" s="9"/>
      <c r="E932" s="9"/>
    </row>
    <row r="933" spans="3:5" x14ac:dyDescent="0.3">
      <c r="C933" s="9"/>
      <c r="D933" s="9"/>
      <c r="E933" s="9"/>
    </row>
    <row r="934" spans="3:5" x14ac:dyDescent="0.3">
      <c r="C934" s="9"/>
      <c r="D934" s="9"/>
      <c r="E934" s="9"/>
    </row>
    <row r="935" spans="3:5" x14ac:dyDescent="0.3">
      <c r="C935" s="9"/>
      <c r="D935" s="9"/>
      <c r="E935" s="9"/>
    </row>
    <row r="936" spans="3:5" x14ac:dyDescent="0.3">
      <c r="C936" s="9"/>
      <c r="D936" s="9"/>
      <c r="E936" s="9"/>
    </row>
    <row r="937" spans="3:5" x14ac:dyDescent="0.3">
      <c r="C937" s="9"/>
      <c r="D937" s="9"/>
      <c r="E937" s="9"/>
    </row>
    <row r="938" spans="3:5" x14ac:dyDescent="0.3">
      <c r="C938" s="9"/>
      <c r="D938" s="9"/>
      <c r="E938" s="9"/>
    </row>
    <row r="939" spans="3:5" x14ac:dyDescent="0.3">
      <c r="C939" s="9"/>
      <c r="D939" s="9"/>
      <c r="E939" s="9"/>
    </row>
    <row r="940" spans="3:5" x14ac:dyDescent="0.3">
      <c r="C940" s="9"/>
      <c r="D940" s="9"/>
      <c r="E940" s="9"/>
    </row>
    <row r="941" spans="3:5" x14ac:dyDescent="0.3">
      <c r="C941" s="9"/>
      <c r="D941" s="9"/>
      <c r="E941" s="9"/>
    </row>
    <row r="942" spans="3:5" x14ac:dyDescent="0.3">
      <c r="C942" s="9"/>
      <c r="D942" s="9"/>
      <c r="E942" s="9"/>
    </row>
    <row r="943" spans="3:5" x14ac:dyDescent="0.3">
      <c r="C943" s="9"/>
      <c r="D943" s="9"/>
      <c r="E943" s="9"/>
    </row>
    <row r="944" spans="3:5" x14ac:dyDescent="0.3">
      <c r="C944" s="9"/>
      <c r="D944" s="9"/>
      <c r="E944" s="9"/>
    </row>
    <row r="945" spans="3:5" x14ac:dyDescent="0.3">
      <c r="C945" s="9"/>
      <c r="D945" s="9"/>
      <c r="E945" s="9"/>
    </row>
    <row r="946" spans="3:5" x14ac:dyDescent="0.3">
      <c r="C946" s="9"/>
      <c r="D946" s="9"/>
      <c r="E946" s="9"/>
    </row>
    <row r="947" spans="3:5" x14ac:dyDescent="0.3">
      <c r="C947" s="9"/>
      <c r="D947" s="9"/>
      <c r="E947" s="9"/>
    </row>
    <row r="948" spans="3:5" x14ac:dyDescent="0.3">
      <c r="C948" s="9"/>
      <c r="D948" s="9"/>
      <c r="E948" s="9"/>
    </row>
    <row r="949" spans="3:5" x14ac:dyDescent="0.3">
      <c r="C949" s="9"/>
      <c r="D949" s="9"/>
      <c r="E949" s="9"/>
    </row>
    <row r="950" spans="3:5" x14ac:dyDescent="0.3">
      <c r="C950" s="9"/>
      <c r="D950" s="9"/>
      <c r="E950" s="9"/>
    </row>
    <row r="951" spans="3:5" x14ac:dyDescent="0.3">
      <c r="C951" s="9"/>
      <c r="D951" s="9"/>
      <c r="E951" s="9"/>
    </row>
    <row r="952" spans="3:5" x14ac:dyDescent="0.3">
      <c r="C952" s="9"/>
      <c r="D952" s="9"/>
      <c r="E952" s="9"/>
    </row>
    <row r="953" spans="3:5" x14ac:dyDescent="0.3">
      <c r="C953" s="9"/>
      <c r="D953" s="9"/>
      <c r="E953" s="9"/>
    </row>
    <row r="954" spans="3:5" x14ac:dyDescent="0.3">
      <c r="C954" s="9"/>
      <c r="D954" s="9"/>
      <c r="E954" s="9"/>
    </row>
    <row r="955" spans="3:5" x14ac:dyDescent="0.3">
      <c r="C955" s="9"/>
      <c r="D955" s="9"/>
      <c r="E955" s="9"/>
    </row>
    <row r="956" spans="3:5" x14ac:dyDescent="0.3">
      <c r="C956" s="9"/>
      <c r="D956" s="9"/>
      <c r="E956" s="9"/>
    </row>
    <row r="957" spans="3:5" x14ac:dyDescent="0.3">
      <c r="C957" s="9"/>
      <c r="D957" s="9"/>
      <c r="E957" s="9"/>
    </row>
    <row r="958" spans="3:5" x14ac:dyDescent="0.3">
      <c r="C958" s="9"/>
      <c r="D958" s="9"/>
      <c r="E958" s="9"/>
    </row>
    <row r="959" spans="3:5" x14ac:dyDescent="0.3">
      <c r="C959" s="9"/>
      <c r="D959" s="9"/>
      <c r="E959" s="9"/>
    </row>
    <row r="960" spans="3:5" x14ac:dyDescent="0.3">
      <c r="C960" s="9"/>
      <c r="D960" s="9"/>
      <c r="E960" s="9"/>
    </row>
    <row r="961" spans="3:5" x14ac:dyDescent="0.3">
      <c r="C961" s="9"/>
      <c r="D961" s="9"/>
      <c r="E961" s="9"/>
    </row>
    <row r="962" spans="3:5" x14ac:dyDescent="0.3">
      <c r="C962" s="9"/>
      <c r="D962" s="9"/>
      <c r="E962" s="9"/>
    </row>
    <row r="963" spans="3:5" x14ac:dyDescent="0.3">
      <c r="C963" s="9"/>
      <c r="D963" s="9"/>
      <c r="E963" s="9"/>
    </row>
    <row r="964" spans="3:5" x14ac:dyDescent="0.3">
      <c r="C964" s="9"/>
      <c r="D964" s="9"/>
      <c r="E964" s="9"/>
    </row>
    <row r="965" spans="3:5" x14ac:dyDescent="0.3">
      <c r="C965" s="9"/>
      <c r="D965" s="9"/>
      <c r="E965" s="9"/>
    </row>
    <row r="966" spans="3:5" x14ac:dyDescent="0.3">
      <c r="C966" s="9"/>
      <c r="D966" s="9"/>
      <c r="E966" s="9"/>
    </row>
    <row r="967" spans="3:5" x14ac:dyDescent="0.3">
      <c r="C967" s="9"/>
      <c r="D967" s="9"/>
      <c r="E967" s="9"/>
    </row>
    <row r="968" spans="3:5" x14ac:dyDescent="0.3">
      <c r="C968" s="9"/>
      <c r="D968" s="9"/>
      <c r="E968" s="9"/>
    </row>
    <row r="969" spans="3:5" x14ac:dyDescent="0.3">
      <c r="C969" s="9"/>
      <c r="D969" s="9"/>
      <c r="E969" s="9"/>
    </row>
    <row r="970" spans="3:5" x14ac:dyDescent="0.3">
      <c r="C970" s="9"/>
      <c r="D970" s="9"/>
      <c r="E970" s="9"/>
    </row>
    <row r="971" spans="3:5" x14ac:dyDescent="0.3">
      <c r="C971" s="9"/>
      <c r="D971" s="9"/>
      <c r="E971" s="9"/>
    </row>
    <row r="972" spans="3:5" x14ac:dyDescent="0.3">
      <c r="C972" s="9"/>
      <c r="D972" s="9"/>
      <c r="E972" s="9"/>
    </row>
    <row r="973" spans="3:5" x14ac:dyDescent="0.3">
      <c r="C973" s="9"/>
      <c r="D973" s="9"/>
      <c r="E973" s="9"/>
    </row>
    <row r="974" spans="3:5" x14ac:dyDescent="0.3">
      <c r="C974" s="9"/>
      <c r="D974" s="9"/>
      <c r="E974" s="9"/>
    </row>
    <row r="975" spans="3:5" x14ac:dyDescent="0.3">
      <c r="C975" s="9"/>
      <c r="D975" s="9"/>
      <c r="E975" s="9"/>
    </row>
    <row r="976" spans="3:5" x14ac:dyDescent="0.3">
      <c r="C976" s="9"/>
      <c r="D976" s="9"/>
      <c r="E976" s="9"/>
    </row>
    <row r="977" spans="3:5" x14ac:dyDescent="0.3">
      <c r="C977" s="9"/>
      <c r="D977" s="9"/>
      <c r="E977" s="9"/>
    </row>
    <row r="978" spans="3:5" x14ac:dyDescent="0.3">
      <c r="C978" s="9"/>
      <c r="D978" s="9"/>
      <c r="E978" s="9"/>
    </row>
    <row r="979" spans="3:5" x14ac:dyDescent="0.3">
      <c r="C979" s="9"/>
      <c r="D979" s="9"/>
      <c r="E979" s="9"/>
    </row>
    <row r="980" spans="3:5" x14ac:dyDescent="0.3">
      <c r="C980" s="9"/>
      <c r="D980" s="9"/>
      <c r="E980" s="9"/>
    </row>
    <row r="981" spans="3:5" x14ac:dyDescent="0.3">
      <c r="C981" s="9"/>
      <c r="D981" s="9"/>
      <c r="E981" s="9"/>
    </row>
    <row r="982" spans="3:5" x14ac:dyDescent="0.3">
      <c r="C982" s="9"/>
      <c r="D982" s="9"/>
      <c r="E982" s="9"/>
    </row>
    <row r="983" spans="3:5" x14ac:dyDescent="0.3">
      <c r="C983" s="9"/>
      <c r="D983" s="9"/>
      <c r="E983" s="9"/>
    </row>
    <row r="984" spans="3:5" x14ac:dyDescent="0.3">
      <c r="C984" s="9"/>
      <c r="D984" s="9"/>
      <c r="E984" s="9"/>
    </row>
    <row r="985" spans="3:5" x14ac:dyDescent="0.3">
      <c r="C985" s="9"/>
      <c r="D985" s="9"/>
      <c r="E985" s="9"/>
    </row>
    <row r="986" spans="3:5" x14ac:dyDescent="0.3">
      <c r="C986" s="9"/>
      <c r="D986" s="9"/>
      <c r="E986" s="9"/>
    </row>
    <row r="987" spans="3:5" x14ac:dyDescent="0.3">
      <c r="C987" s="9"/>
      <c r="D987" s="9"/>
      <c r="E987" s="9"/>
    </row>
    <row r="988" spans="3:5" x14ac:dyDescent="0.3">
      <c r="C988" s="9"/>
      <c r="D988" s="9"/>
      <c r="E988" s="9"/>
    </row>
    <row r="989" spans="3:5" x14ac:dyDescent="0.3">
      <c r="C989" s="9"/>
      <c r="D989" s="9"/>
      <c r="E989" s="9"/>
    </row>
    <row r="990" spans="3:5" x14ac:dyDescent="0.3">
      <c r="C990" s="9"/>
      <c r="D990" s="9"/>
      <c r="E990" s="9"/>
    </row>
    <row r="991" spans="3:5" x14ac:dyDescent="0.3">
      <c r="C991" s="9"/>
      <c r="D991" s="9"/>
      <c r="E991" s="9"/>
    </row>
    <row r="992" spans="3:5" x14ac:dyDescent="0.3">
      <c r="C992" s="9"/>
      <c r="D992" s="9"/>
      <c r="E992" s="9"/>
    </row>
    <row r="993" spans="3:5" x14ac:dyDescent="0.3">
      <c r="C993" s="9"/>
      <c r="D993" s="9"/>
      <c r="E993" s="9"/>
    </row>
    <row r="994" spans="3:5" x14ac:dyDescent="0.3">
      <c r="C994" s="9"/>
      <c r="D994" s="9"/>
      <c r="E994" s="9"/>
    </row>
    <row r="995" spans="3:5" x14ac:dyDescent="0.3">
      <c r="C995" s="9"/>
      <c r="D995" s="9"/>
      <c r="E995" s="9"/>
    </row>
    <row r="996" spans="3:5" x14ac:dyDescent="0.3">
      <c r="C996" s="9"/>
      <c r="D996" s="9"/>
      <c r="E996" s="9"/>
    </row>
    <row r="997" spans="3:5" x14ac:dyDescent="0.3">
      <c r="C997" s="9"/>
      <c r="D997" s="9"/>
      <c r="E997" s="9"/>
    </row>
    <row r="998" spans="3:5" x14ac:dyDescent="0.3">
      <c r="C998" s="9"/>
      <c r="D998" s="9"/>
      <c r="E998" s="9"/>
    </row>
    <row r="999" spans="3:5" x14ac:dyDescent="0.3">
      <c r="C999" s="9"/>
      <c r="D999" s="9"/>
      <c r="E999" s="9"/>
    </row>
    <row r="1000" spans="3:5" x14ac:dyDescent="0.3">
      <c r="C1000" s="9"/>
      <c r="D1000" s="9"/>
      <c r="E1000" s="9"/>
    </row>
    <row r="1001" spans="3:5" x14ac:dyDescent="0.3">
      <c r="C1001" s="9"/>
      <c r="D1001" s="9"/>
      <c r="E1001" s="9"/>
    </row>
    <row r="1002" spans="3:5" x14ac:dyDescent="0.3">
      <c r="C1002" s="9"/>
      <c r="D1002" s="9"/>
      <c r="E1002" s="9"/>
    </row>
    <row r="1003" spans="3:5" x14ac:dyDescent="0.3">
      <c r="C1003" s="9"/>
      <c r="D1003" s="9"/>
      <c r="E1003" s="9"/>
    </row>
    <row r="1004" spans="3:5" x14ac:dyDescent="0.3">
      <c r="C1004" s="9"/>
      <c r="D1004" s="9"/>
      <c r="E1004" s="9"/>
    </row>
    <row r="1005" spans="3:5" x14ac:dyDescent="0.3">
      <c r="C1005" s="9"/>
      <c r="D1005" s="9"/>
      <c r="E1005" s="9"/>
    </row>
    <row r="1006" spans="3:5" x14ac:dyDescent="0.3">
      <c r="C1006" s="9"/>
      <c r="D1006" s="9"/>
      <c r="E1006" s="9"/>
    </row>
    <row r="1007" spans="3:5" x14ac:dyDescent="0.3">
      <c r="C1007" s="9"/>
      <c r="D1007" s="9"/>
      <c r="E1007" s="9"/>
    </row>
    <row r="1008" spans="3:5" x14ac:dyDescent="0.3">
      <c r="C1008" s="9"/>
      <c r="D1008" s="9"/>
      <c r="E1008" s="9"/>
    </row>
    <row r="1009" spans="3:5" x14ac:dyDescent="0.3">
      <c r="C1009" s="9"/>
      <c r="D1009" s="9"/>
      <c r="E1009" s="9"/>
    </row>
    <row r="1010" spans="3:5" x14ac:dyDescent="0.3">
      <c r="C1010" s="9"/>
      <c r="D1010" s="9"/>
      <c r="E1010" s="9"/>
    </row>
    <row r="1011" spans="3:5" x14ac:dyDescent="0.3">
      <c r="C1011" s="9"/>
      <c r="D1011" s="9"/>
      <c r="E1011" s="9"/>
    </row>
    <row r="1012" spans="3:5" x14ac:dyDescent="0.3">
      <c r="C1012" s="9"/>
      <c r="D1012" s="9"/>
      <c r="E1012" s="9"/>
    </row>
    <row r="1013" spans="3:5" x14ac:dyDescent="0.3">
      <c r="C1013" s="9"/>
      <c r="D1013" s="9"/>
      <c r="E1013" s="9"/>
    </row>
    <row r="1014" spans="3:5" x14ac:dyDescent="0.3">
      <c r="C1014" s="9"/>
      <c r="D1014" s="9"/>
      <c r="E1014" s="9"/>
    </row>
    <row r="1015" spans="3:5" x14ac:dyDescent="0.3">
      <c r="C1015" s="9"/>
      <c r="D1015" s="9"/>
      <c r="E1015" s="9"/>
    </row>
    <row r="1016" spans="3:5" x14ac:dyDescent="0.3">
      <c r="C1016" s="9"/>
      <c r="D1016" s="9"/>
      <c r="E1016" s="9"/>
    </row>
    <row r="1017" spans="3:5" x14ac:dyDescent="0.3">
      <c r="C1017" s="9"/>
      <c r="D1017" s="9"/>
      <c r="E1017" s="9"/>
    </row>
    <row r="1018" spans="3:5" x14ac:dyDescent="0.3">
      <c r="C1018" s="9"/>
      <c r="D1018" s="9"/>
      <c r="E1018" s="9"/>
    </row>
    <row r="1019" spans="3:5" x14ac:dyDescent="0.3">
      <c r="C1019" s="9"/>
      <c r="D1019" s="9"/>
      <c r="E1019" s="9"/>
    </row>
    <row r="1020" spans="3:5" x14ac:dyDescent="0.3">
      <c r="C1020" s="9"/>
      <c r="D1020" s="9"/>
      <c r="E1020" s="9"/>
    </row>
    <row r="1021" spans="3:5" x14ac:dyDescent="0.3">
      <c r="C1021" s="9"/>
      <c r="D1021" s="9"/>
      <c r="E1021" s="9"/>
    </row>
    <row r="1022" spans="3:5" x14ac:dyDescent="0.3">
      <c r="C1022" s="9"/>
      <c r="D1022" s="9"/>
      <c r="E1022" s="9"/>
    </row>
    <row r="1023" spans="3:5" x14ac:dyDescent="0.3">
      <c r="C1023" s="9"/>
      <c r="D1023" s="9"/>
      <c r="E1023" s="9"/>
    </row>
    <row r="1024" spans="3:5" x14ac:dyDescent="0.3">
      <c r="C1024" s="9"/>
      <c r="D1024" s="9"/>
      <c r="E1024" s="9"/>
    </row>
    <row r="1025" spans="3:5" x14ac:dyDescent="0.3">
      <c r="C1025" s="9"/>
      <c r="D1025" s="9"/>
      <c r="E1025" s="9"/>
    </row>
    <row r="1026" spans="3:5" x14ac:dyDescent="0.3">
      <c r="C1026" s="9"/>
      <c r="D1026" s="9"/>
      <c r="E1026" s="9"/>
    </row>
    <row r="1027" spans="3:5" x14ac:dyDescent="0.3">
      <c r="C1027" s="9"/>
      <c r="D1027" s="9"/>
      <c r="E1027" s="9"/>
    </row>
    <row r="1028" spans="3:5" x14ac:dyDescent="0.3">
      <c r="C1028" s="9"/>
      <c r="D1028" s="9"/>
      <c r="E1028" s="9"/>
    </row>
    <row r="1029" spans="3:5" x14ac:dyDescent="0.3">
      <c r="C1029" s="9"/>
      <c r="D1029" s="9"/>
      <c r="E1029" s="9"/>
    </row>
    <row r="1030" spans="3:5" x14ac:dyDescent="0.3">
      <c r="C1030" s="9"/>
      <c r="D1030" s="9"/>
      <c r="E1030" s="9"/>
    </row>
    <row r="1031" spans="3:5" x14ac:dyDescent="0.3">
      <c r="C1031" s="9"/>
      <c r="D1031" s="9"/>
      <c r="E1031" s="9"/>
    </row>
    <row r="1032" spans="3:5" x14ac:dyDescent="0.3">
      <c r="C1032" s="9"/>
      <c r="D1032" s="9"/>
      <c r="E1032" s="9"/>
    </row>
    <row r="1033" spans="3:5" x14ac:dyDescent="0.3">
      <c r="C1033" s="9"/>
      <c r="D1033" s="9"/>
      <c r="E1033" s="9"/>
    </row>
    <row r="1034" spans="3:5" x14ac:dyDescent="0.3">
      <c r="C1034" s="9"/>
      <c r="D1034" s="9"/>
      <c r="E1034" s="9"/>
    </row>
    <row r="1035" spans="3:5" x14ac:dyDescent="0.3">
      <c r="C1035" s="9"/>
      <c r="D1035" s="9"/>
      <c r="E1035" s="9"/>
    </row>
    <row r="1036" spans="3:5" x14ac:dyDescent="0.3">
      <c r="C1036" s="9"/>
      <c r="D1036" s="9"/>
      <c r="E1036" s="9"/>
    </row>
    <row r="1037" spans="3:5" x14ac:dyDescent="0.3">
      <c r="C1037" s="9"/>
      <c r="D1037" s="9"/>
      <c r="E1037" s="9"/>
    </row>
    <row r="1038" spans="3:5" x14ac:dyDescent="0.3">
      <c r="C1038" s="9"/>
      <c r="D1038" s="9"/>
      <c r="E1038" s="9"/>
    </row>
    <row r="1039" spans="3:5" x14ac:dyDescent="0.3">
      <c r="C1039" s="9"/>
      <c r="D1039" s="9"/>
      <c r="E1039" s="9"/>
    </row>
    <row r="1040" spans="3:5" x14ac:dyDescent="0.3">
      <c r="C1040" s="9"/>
      <c r="D1040" s="9"/>
      <c r="E1040" s="9"/>
    </row>
    <row r="1041" spans="3:5" x14ac:dyDescent="0.3">
      <c r="C1041" s="9"/>
      <c r="D1041" s="9"/>
      <c r="E1041" s="9"/>
    </row>
    <row r="1042" spans="3:5" x14ac:dyDescent="0.3">
      <c r="C1042" s="9"/>
      <c r="D1042" s="9"/>
      <c r="E1042" s="9"/>
    </row>
    <row r="1043" spans="3:5" x14ac:dyDescent="0.3">
      <c r="C1043" s="9"/>
      <c r="D1043" s="9"/>
      <c r="E1043" s="9"/>
    </row>
    <row r="1044" spans="3:5" x14ac:dyDescent="0.3">
      <c r="C1044" s="9"/>
      <c r="D1044" s="9"/>
      <c r="E1044" s="9"/>
    </row>
    <row r="1045" spans="3:5" x14ac:dyDescent="0.3">
      <c r="C1045" s="9"/>
      <c r="D1045" s="9"/>
      <c r="E1045" s="9"/>
    </row>
    <row r="1046" spans="3:5" x14ac:dyDescent="0.3">
      <c r="C1046" s="9"/>
      <c r="D1046" s="9"/>
      <c r="E1046" s="9"/>
    </row>
    <row r="1047" spans="3:5" x14ac:dyDescent="0.3">
      <c r="C1047" s="9"/>
      <c r="D1047" s="9"/>
      <c r="E1047" s="9"/>
    </row>
    <row r="1048" spans="3:5" x14ac:dyDescent="0.3">
      <c r="C1048" s="9"/>
      <c r="D1048" s="9"/>
      <c r="E1048" s="9"/>
    </row>
    <row r="1049" spans="3:5" x14ac:dyDescent="0.3">
      <c r="C1049" s="9"/>
      <c r="D1049" s="9"/>
      <c r="E1049" s="9"/>
    </row>
    <row r="1050" spans="3:5" x14ac:dyDescent="0.3">
      <c r="C1050" s="9"/>
      <c r="D1050" s="9"/>
      <c r="E1050" s="9"/>
    </row>
    <row r="1051" spans="3:5" x14ac:dyDescent="0.3">
      <c r="C1051" s="9"/>
      <c r="D1051" s="9"/>
      <c r="E1051" s="9"/>
    </row>
    <row r="1052" spans="3:5" x14ac:dyDescent="0.3">
      <c r="C1052" s="9"/>
      <c r="D1052" s="9"/>
      <c r="E1052" s="9"/>
    </row>
    <row r="1053" spans="3:5" x14ac:dyDescent="0.3">
      <c r="C1053" s="9"/>
      <c r="D1053" s="9"/>
      <c r="E1053" s="9"/>
    </row>
    <row r="1054" spans="3:5" x14ac:dyDescent="0.3">
      <c r="C1054" s="9"/>
      <c r="D1054" s="9"/>
      <c r="E1054" s="9"/>
    </row>
    <row r="1055" spans="3:5" x14ac:dyDescent="0.3">
      <c r="C1055" s="9"/>
      <c r="D1055" s="9"/>
      <c r="E1055" s="9"/>
    </row>
    <row r="1056" spans="3:5" x14ac:dyDescent="0.3">
      <c r="C1056" s="9"/>
      <c r="D1056" s="9"/>
      <c r="E1056" s="9"/>
    </row>
    <row r="1057" spans="3:5" x14ac:dyDescent="0.3">
      <c r="C1057" s="9"/>
      <c r="D1057" s="9"/>
      <c r="E1057" s="9"/>
    </row>
    <row r="1058" spans="3:5" x14ac:dyDescent="0.3">
      <c r="C1058" s="9"/>
      <c r="D1058" s="9"/>
      <c r="E1058" s="9"/>
    </row>
    <row r="1059" spans="3:5" x14ac:dyDescent="0.3">
      <c r="C1059" s="9"/>
      <c r="D1059" s="9"/>
      <c r="E1059" s="9"/>
    </row>
    <row r="1060" spans="3:5" x14ac:dyDescent="0.3">
      <c r="C1060" s="9"/>
      <c r="D1060" s="9"/>
      <c r="E1060" s="9"/>
    </row>
    <row r="1061" spans="3:5" x14ac:dyDescent="0.3">
      <c r="C1061" s="9"/>
      <c r="D1061" s="9"/>
      <c r="E1061" s="9"/>
    </row>
    <row r="1062" spans="3:5" x14ac:dyDescent="0.3">
      <c r="C1062" s="9"/>
      <c r="D1062" s="9"/>
      <c r="E1062" s="9"/>
    </row>
    <row r="1063" spans="3:5" x14ac:dyDescent="0.3">
      <c r="C1063" s="9"/>
      <c r="D1063" s="9"/>
      <c r="E1063" s="9"/>
    </row>
    <row r="1064" spans="3:5" x14ac:dyDescent="0.3">
      <c r="C1064" s="9"/>
      <c r="D1064" s="9"/>
      <c r="E1064" s="9"/>
    </row>
    <row r="1065" spans="3:5" x14ac:dyDescent="0.3">
      <c r="C1065" s="9"/>
      <c r="D1065" s="9"/>
      <c r="E1065" s="9"/>
    </row>
    <row r="1066" spans="3:5" x14ac:dyDescent="0.3">
      <c r="C1066" s="9"/>
      <c r="D1066" s="9"/>
      <c r="E1066" s="9"/>
    </row>
    <row r="1067" spans="3:5" x14ac:dyDescent="0.3">
      <c r="C1067" s="9"/>
      <c r="D1067" s="9"/>
      <c r="E1067" s="9"/>
    </row>
    <row r="1068" spans="3:5" x14ac:dyDescent="0.3">
      <c r="C1068" s="9"/>
      <c r="D1068" s="9"/>
      <c r="E1068" s="9"/>
    </row>
    <row r="1069" spans="3:5" x14ac:dyDescent="0.3">
      <c r="C1069" s="9"/>
      <c r="D1069" s="9"/>
      <c r="E1069" s="9"/>
    </row>
    <row r="1070" spans="3:5" x14ac:dyDescent="0.3">
      <c r="C1070" s="9"/>
      <c r="D1070" s="9"/>
      <c r="E1070" s="9"/>
    </row>
    <row r="1071" spans="3:5" x14ac:dyDescent="0.3">
      <c r="C1071" s="9"/>
      <c r="D1071" s="9"/>
      <c r="E1071" s="9"/>
    </row>
    <row r="1072" spans="3:5" x14ac:dyDescent="0.3">
      <c r="C1072" s="9"/>
      <c r="D1072" s="9"/>
      <c r="E1072" s="9"/>
    </row>
    <row r="1073" spans="3:5" x14ac:dyDescent="0.3">
      <c r="C1073" s="9"/>
      <c r="D1073" s="9"/>
      <c r="E1073" s="9"/>
    </row>
    <row r="1074" spans="3:5" x14ac:dyDescent="0.3">
      <c r="C1074" s="9"/>
      <c r="D1074" s="9"/>
      <c r="E1074" s="9"/>
    </row>
    <row r="1075" spans="3:5" x14ac:dyDescent="0.3">
      <c r="C1075" s="9"/>
      <c r="D1075" s="9"/>
      <c r="E1075" s="9"/>
    </row>
    <row r="1076" spans="3:5" x14ac:dyDescent="0.3">
      <c r="C1076" s="9"/>
      <c r="D1076" s="9"/>
      <c r="E1076" s="9"/>
    </row>
    <row r="1077" spans="3:5" x14ac:dyDescent="0.3">
      <c r="C1077" s="9"/>
      <c r="D1077" s="9"/>
      <c r="E1077" s="9"/>
    </row>
    <row r="1078" spans="3:5" x14ac:dyDescent="0.3">
      <c r="C1078" s="9"/>
      <c r="D1078" s="9"/>
      <c r="E1078" s="9"/>
    </row>
    <row r="1079" spans="3:5" x14ac:dyDescent="0.3">
      <c r="C1079" s="9"/>
      <c r="D1079" s="9"/>
      <c r="E1079" s="9"/>
    </row>
    <row r="1080" spans="3:5" x14ac:dyDescent="0.3">
      <c r="C1080" s="9"/>
      <c r="D1080" s="9"/>
      <c r="E1080" s="9"/>
    </row>
    <row r="1081" spans="3:5" x14ac:dyDescent="0.3">
      <c r="C1081" s="9"/>
      <c r="D1081" s="9"/>
      <c r="E1081" s="9"/>
    </row>
    <row r="1082" spans="3:5" x14ac:dyDescent="0.3">
      <c r="C1082" s="9"/>
      <c r="D1082" s="9"/>
      <c r="E1082" s="9"/>
    </row>
    <row r="1083" spans="3:5" x14ac:dyDescent="0.3">
      <c r="C1083" s="9"/>
      <c r="D1083" s="9"/>
      <c r="E1083" s="9"/>
    </row>
    <row r="1084" spans="3:5" x14ac:dyDescent="0.3">
      <c r="C1084" s="9"/>
      <c r="D1084" s="9"/>
      <c r="E1084" s="9"/>
    </row>
    <row r="1085" spans="3:5" x14ac:dyDescent="0.3">
      <c r="C1085" s="9"/>
      <c r="D1085" s="9"/>
      <c r="E1085" s="9"/>
    </row>
    <row r="1086" spans="3:5" x14ac:dyDescent="0.3">
      <c r="C1086" s="9"/>
      <c r="D1086" s="9"/>
      <c r="E1086" s="9"/>
    </row>
    <row r="1087" spans="3:5" x14ac:dyDescent="0.3">
      <c r="C1087" s="9"/>
      <c r="D1087" s="9"/>
      <c r="E1087" s="9"/>
    </row>
    <row r="1088" spans="3:5" x14ac:dyDescent="0.3">
      <c r="C1088" s="9"/>
      <c r="D1088" s="9"/>
      <c r="E1088" s="9"/>
    </row>
    <row r="1089" spans="3:5" x14ac:dyDescent="0.3">
      <c r="C1089" s="9"/>
      <c r="D1089" s="9"/>
      <c r="E1089" s="9"/>
    </row>
    <row r="1090" spans="3:5" x14ac:dyDescent="0.3">
      <c r="C1090" s="9"/>
      <c r="D1090" s="9"/>
      <c r="E1090" s="9"/>
    </row>
    <row r="1091" spans="3:5" x14ac:dyDescent="0.3">
      <c r="C1091" s="9"/>
      <c r="D1091" s="9"/>
      <c r="E1091" s="9"/>
    </row>
    <row r="1092" spans="3:5" x14ac:dyDescent="0.3">
      <c r="C1092" s="9"/>
      <c r="D1092" s="9"/>
      <c r="E1092" s="9"/>
    </row>
    <row r="1093" spans="3:5" x14ac:dyDescent="0.3">
      <c r="C1093" s="9"/>
      <c r="D1093" s="9"/>
      <c r="E1093" s="9"/>
    </row>
    <row r="1094" spans="3:5" x14ac:dyDescent="0.3">
      <c r="C1094" s="9"/>
      <c r="D1094" s="9"/>
      <c r="E1094" s="9"/>
    </row>
    <row r="1095" spans="3:5" x14ac:dyDescent="0.3">
      <c r="C1095" s="9"/>
      <c r="D1095" s="9"/>
      <c r="E1095" s="9"/>
    </row>
    <row r="1096" spans="3:5" x14ac:dyDescent="0.3">
      <c r="C1096" s="9"/>
      <c r="D1096" s="9"/>
      <c r="E1096" s="9"/>
    </row>
    <row r="1097" spans="3:5" x14ac:dyDescent="0.3">
      <c r="C1097" s="9"/>
      <c r="D1097" s="9"/>
      <c r="E1097" s="9"/>
    </row>
    <row r="1098" spans="3:5" x14ac:dyDescent="0.3">
      <c r="C1098" s="9"/>
      <c r="D1098" s="9"/>
      <c r="E1098" s="9"/>
    </row>
    <row r="1099" spans="3:5" x14ac:dyDescent="0.3">
      <c r="C1099" s="9"/>
      <c r="D1099" s="9"/>
      <c r="E1099" s="9"/>
    </row>
    <row r="1100" spans="3:5" x14ac:dyDescent="0.3">
      <c r="C1100" s="9"/>
      <c r="D1100" s="9"/>
      <c r="E1100" s="9"/>
    </row>
    <row r="1101" spans="3:5" x14ac:dyDescent="0.3">
      <c r="C1101" s="9"/>
      <c r="D1101" s="9"/>
      <c r="E1101" s="9"/>
    </row>
    <row r="1102" spans="3:5" x14ac:dyDescent="0.3">
      <c r="C1102" s="9"/>
      <c r="D1102" s="9"/>
      <c r="E1102" s="9"/>
    </row>
    <row r="1103" spans="3:5" x14ac:dyDescent="0.3">
      <c r="C1103" s="9"/>
      <c r="D1103" s="9"/>
      <c r="E1103" s="9"/>
    </row>
    <row r="1104" spans="3:5" x14ac:dyDescent="0.3">
      <c r="C1104" s="9"/>
      <c r="D1104" s="9"/>
      <c r="E1104" s="9"/>
    </row>
    <row r="1105" spans="3:5" x14ac:dyDescent="0.3">
      <c r="C1105" s="9"/>
      <c r="D1105" s="9"/>
      <c r="E1105" s="9"/>
    </row>
    <row r="1106" spans="3:5" x14ac:dyDescent="0.3">
      <c r="C1106" s="9"/>
      <c r="D1106" s="9"/>
      <c r="E1106" s="9"/>
    </row>
    <row r="1107" spans="3:5" x14ac:dyDescent="0.3">
      <c r="C1107" s="9"/>
      <c r="D1107" s="9"/>
      <c r="E1107" s="9"/>
    </row>
    <row r="1108" spans="3:5" x14ac:dyDescent="0.3">
      <c r="C1108" s="9"/>
      <c r="D1108" s="9"/>
      <c r="E1108" s="9"/>
    </row>
    <row r="1109" spans="3:5" x14ac:dyDescent="0.3">
      <c r="C1109" s="9"/>
      <c r="D1109" s="9"/>
      <c r="E1109" s="9"/>
    </row>
    <row r="1110" spans="3:5" x14ac:dyDescent="0.3">
      <c r="C1110" s="9"/>
      <c r="D1110" s="9"/>
      <c r="E1110" s="9"/>
    </row>
    <row r="1111" spans="3:5" x14ac:dyDescent="0.3">
      <c r="C1111" s="9"/>
      <c r="D1111" s="9"/>
      <c r="E1111" s="9"/>
    </row>
    <row r="1112" spans="3:5" x14ac:dyDescent="0.3">
      <c r="C1112" s="9"/>
      <c r="D1112" s="9"/>
      <c r="E1112" s="9"/>
    </row>
    <row r="1113" spans="3:5" x14ac:dyDescent="0.3">
      <c r="C1113" s="9"/>
      <c r="D1113" s="9"/>
      <c r="E1113" s="9"/>
    </row>
    <row r="1114" spans="3:5" x14ac:dyDescent="0.3">
      <c r="C1114" s="9"/>
      <c r="D1114" s="9"/>
      <c r="E1114" s="9"/>
    </row>
    <row r="1115" spans="3:5" x14ac:dyDescent="0.3">
      <c r="C1115" s="9"/>
      <c r="D1115" s="9"/>
      <c r="E1115" s="9"/>
    </row>
    <row r="1116" spans="3:5" x14ac:dyDescent="0.3">
      <c r="C1116" s="9"/>
      <c r="D1116" s="9"/>
      <c r="E1116" s="9"/>
    </row>
    <row r="1117" spans="3:5" x14ac:dyDescent="0.3">
      <c r="C1117" s="9"/>
      <c r="D1117" s="9"/>
      <c r="E1117" s="9"/>
    </row>
    <row r="1118" spans="3:5" x14ac:dyDescent="0.3">
      <c r="C1118" s="9"/>
      <c r="D1118" s="9"/>
      <c r="E1118" s="9"/>
    </row>
    <row r="1119" spans="3:5" x14ac:dyDescent="0.3">
      <c r="C1119" s="9"/>
      <c r="D1119" s="9"/>
      <c r="E1119" s="9"/>
    </row>
    <row r="1120" spans="3:5" x14ac:dyDescent="0.3">
      <c r="C1120" s="9"/>
      <c r="D1120" s="9"/>
      <c r="E1120" s="9"/>
    </row>
    <row r="1121" spans="3:5" x14ac:dyDescent="0.3">
      <c r="C1121" s="9"/>
      <c r="D1121" s="9"/>
      <c r="E1121" s="9"/>
    </row>
    <row r="1122" spans="3:5" x14ac:dyDescent="0.3">
      <c r="C1122" s="9"/>
      <c r="D1122" s="9"/>
      <c r="E1122" s="9"/>
    </row>
    <row r="1123" spans="3:5" x14ac:dyDescent="0.3">
      <c r="C1123" s="9"/>
      <c r="D1123" s="9"/>
      <c r="E1123" s="9"/>
    </row>
    <row r="1124" spans="3:5" x14ac:dyDescent="0.3">
      <c r="C1124" s="9"/>
      <c r="D1124" s="9"/>
      <c r="E1124" s="9"/>
    </row>
    <row r="1125" spans="3:5" x14ac:dyDescent="0.3">
      <c r="C1125" s="9"/>
      <c r="D1125" s="9"/>
      <c r="E1125" s="9"/>
    </row>
    <row r="1126" spans="3:5" x14ac:dyDescent="0.3">
      <c r="C1126" s="9"/>
      <c r="D1126" s="9"/>
      <c r="E1126" s="9"/>
    </row>
    <row r="1127" spans="3:5" x14ac:dyDescent="0.3">
      <c r="C1127" s="9"/>
      <c r="D1127" s="9"/>
      <c r="E1127" s="9"/>
    </row>
    <row r="1128" spans="3:5" x14ac:dyDescent="0.3">
      <c r="C1128" s="9"/>
      <c r="D1128" s="9"/>
      <c r="E1128" s="9"/>
    </row>
    <row r="1129" spans="3:5" x14ac:dyDescent="0.3">
      <c r="C1129" s="9"/>
      <c r="D1129" s="9"/>
      <c r="E1129" s="9"/>
    </row>
    <row r="1130" spans="3:5" x14ac:dyDescent="0.3">
      <c r="C1130" s="9"/>
      <c r="D1130" s="9"/>
      <c r="E1130" s="9"/>
    </row>
    <row r="1131" spans="3:5" x14ac:dyDescent="0.3">
      <c r="C1131" s="9"/>
      <c r="D1131" s="9"/>
      <c r="E1131" s="9"/>
    </row>
    <row r="1132" spans="3:5" x14ac:dyDescent="0.3">
      <c r="C1132" s="9"/>
      <c r="D1132" s="9"/>
      <c r="E1132" s="9"/>
    </row>
    <row r="1133" spans="3:5" x14ac:dyDescent="0.3">
      <c r="C1133" s="9"/>
      <c r="D1133" s="9"/>
      <c r="E1133" s="9"/>
    </row>
    <row r="1134" spans="3:5" x14ac:dyDescent="0.3">
      <c r="C1134" s="9"/>
      <c r="D1134" s="9"/>
      <c r="E1134" s="9"/>
    </row>
    <row r="1135" spans="3:5" x14ac:dyDescent="0.3">
      <c r="C1135" s="9"/>
      <c r="D1135" s="9"/>
      <c r="E1135" s="9"/>
    </row>
    <row r="1136" spans="3:5" x14ac:dyDescent="0.3">
      <c r="C1136" s="9"/>
      <c r="D1136" s="9"/>
      <c r="E1136" s="9"/>
    </row>
    <row r="1137" spans="3:5" x14ac:dyDescent="0.3">
      <c r="C1137" s="9"/>
      <c r="D1137" s="9"/>
      <c r="E1137" s="9"/>
    </row>
    <row r="1138" spans="3:5" x14ac:dyDescent="0.3">
      <c r="C1138" s="9"/>
      <c r="D1138" s="9"/>
      <c r="E1138" s="9"/>
    </row>
    <row r="1139" spans="3:5" x14ac:dyDescent="0.3">
      <c r="C1139" s="9"/>
      <c r="D1139" s="9"/>
      <c r="E1139" s="9"/>
    </row>
    <row r="1140" spans="3:5" x14ac:dyDescent="0.3">
      <c r="C1140" s="9"/>
      <c r="D1140" s="9"/>
      <c r="E1140" s="9"/>
    </row>
    <row r="1141" spans="3:5" x14ac:dyDescent="0.3">
      <c r="C1141" s="9"/>
      <c r="D1141" s="9"/>
      <c r="E1141" s="9"/>
    </row>
    <row r="1142" spans="3:5" x14ac:dyDescent="0.3">
      <c r="C1142" s="9"/>
      <c r="D1142" s="9"/>
      <c r="E1142" s="9"/>
    </row>
    <row r="1143" spans="3:5" x14ac:dyDescent="0.3">
      <c r="C1143" s="9"/>
      <c r="D1143" s="9"/>
      <c r="E1143" s="9"/>
    </row>
    <row r="1144" spans="3:5" x14ac:dyDescent="0.3">
      <c r="C1144" s="9"/>
      <c r="D1144" s="9"/>
      <c r="E1144" s="9"/>
    </row>
    <row r="1145" spans="3:5" x14ac:dyDescent="0.3">
      <c r="C1145" s="9"/>
      <c r="D1145" s="9"/>
      <c r="E1145" s="9"/>
    </row>
    <row r="1146" spans="3:5" x14ac:dyDescent="0.3">
      <c r="C1146" s="9"/>
      <c r="D1146" s="9"/>
      <c r="E1146" s="9"/>
    </row>
    <row r="1147" spans="3:5" x14ac:dyDescent="0.3">
      <c r="C1147" s="9"/>
      <c r="D1147" s="9"/>
      <c r="E1147" s="9"/>
    </row>
    <row r="1148" spans="3:5" x14ac:dyDescent="0.3">
      <c r="C1148" s="9"/>
      <c r="D1148" s="9"/>
      <c r="E1148" s="9"/>
    </row>
    <row r="1149" spans="3:5" x14ac:dyDescent="0.3">
      <c r="C1149" s="9"/>
      <c r="D1149" s="9"/>
      <c r="E1149" s="9"/>
    </row>
    <row r="1150" spans="3:5" x14ac:dyDescent="0.3">
      <c r="C1150" s="9"/>
      <c r="D1150" s="9"/>
      <c r="E1150" s="9"/>
    </row>
    <row r="1151" spans="3:5" x14ac:dyDescent="0.3">
      <c r="C1151" s="9"/>
      <c r="D1151" s="9"/>
      <c r="E1151" s="9"/>
    </row>
    <row r="1152" spans="3:5" x14ac:dyDescent="0.3">
      <c r="C1152" s="9"/>
      <c r="D1152" s="9"/>
      <c r="E1152" s="9"/>
    </row>
    <row r="1153" spans="3:5" x14ac:dyDescent="0.3">
      <c r="C1153" s="9"/>
      <c r="D1153" s="9"/>
      <c r="E1153" s="9"/>
    </row>
    <row r="1154" spans="3:5" x14ac:dyDescent="0.3">
      <c r="C1154" s="9"/>
      <c r="D1154" s="9"/>
      <c r="E1154" s="9"/>
    </row>
    <row r="1155" spans="3:5" x14ac:dyDescent="0.3">
      <c r="C1155" s="9"/>
      <c r="D1155" s="9"/>
      <c r="E1155" s="9"/>
    </row>
    <row r="1156" spans="3:5" x14ac:dyDescent="0.3">
      <c r="C1156" s="9"/>
      <c r="D1156" s="9"/>
      <c r="E1156" s="9"/>
    </row>
    <row r="1157" spans="3:5" x14ac:dyDescent="0.3">
      <c r="C1157" s="9"/>
      <c r="D1157" s="9"/>
      <c r="E1157" s="9"/>
    </row>
    <row r="1158" spans="3:5" x14ac:dyDescent="0.3">
      <c r="C1158" s="9"/>
      <c r="D1158" s="9"/>
      <c r="E1158" s="9"/>
    </row>
    <row r="1159" spans="3:5" x14ac:dyDescent="0.3">
      <c r="C1159" s="9"/>
      <c r="D1159" s="9"/>
      <c r="E1159" s="9"/>
    </row>
    <row r="1160" spans="3:5" x14ac:dyDescent="0.3">
      <c r="C1160" s="9"/>
      <c r="D1160" s="9"/>
      <c r="E1160" s="9"/>
    </row>
    <row r="1161" spans="3:5" x14ac:dyDescent="0.3">
      <c r="C1161" s="9"/>
      <c r="D1161" s="9"/>
      <c r="E1161" s="9"/>
    </row>
    <row r="1162" spans="3:5" x14ac:dyDescent="0.3">
      <c r="C1162" s="9"/>
      <c r="D1162" s="9"/>
      <c r="E1162" s="9"/>
    </row>
    <row r="1163" spans="3:5" x14ac:dyDescent="0.3">
      <c r="C1163" s="9"/>
      <c r="D1163" s="9"/>
      <c r="E1163" s="9"/>
    </row>
    <row r="1164" spans="3:5" x14ac:dyDescent="0.3">
      <c r="C1164" s="9"/>
      <c r="D1164" s="9"/>
      <c r="E1164" s="9"/>
    </row>
    <row r="1165" spans="3:5" x14ac:dyDescent="0.3">
      <c r="C1165" s="9"/>
      <c r="D1165" s="9"/>
      <c r="E1165" s="9"/>
    </row>
    <row r="1166" spans="3:5" x14ac:dyDescent="0.3">
      <c r="C1166" s="9"/>
      <c r="D1166" s="9"/>
      <c r="E1166" s="9"/>
    </row>
    <row r="1167" spans="3:5" x14ac:dyDescent="0.3">
      <c r="C1167" s="9"/>
      <c r="D1167" s="9"/>
      <c r="E1167" s="9"/>
    </row>
    <row r="1168" spans="3:5" x14ac:dyDescent="0.3">
      <c r="C1168" s="9"/>
      <c r="D1168" s="9"/>
      <c r="E1168" s="9"/>
    </row>
    <row r="1169" spans="3:5" x14ac:dyDescent="0.3">
      <c r="C1169" s="9"/>
      <c r="D1169" s="9"/>
      <c r="E1169" s="9"/>
    </row>
    <row r="1170" spans="3:5" x14ac:dyDescent="0.3">
      <c r="C1170" s="9"/>
      <c r="D1170" s="9"/>
      <c r="E1170" s="9"/>
    </row>
    <row r="1171" spans="3:5" x14ac:dyDescent="0.3">
      <c r="C1171" s="9"/>
      <c r="D1171" s="9"/>
      <c r="E1171" s="9"/>
    </row>
    <row r="1172" spans="3:5" x14ac:dyDescent="0.3">
      <c r="C1172" s="9"/>
      <c r="D1172" s="9"/>
      <c r="E1172" s="9"/>
    </row>
    <row r="1173" spans="3:5" x14ac:dyDescent="0.3">
      <c r="C1173" s="9"/>
      <c r="D1173" s="9"/>
      <c r="E1173" s="9"/>
    </row>
    <row r="1174" spans="3:5" x14ac:dyDescent="0.3">
      <c r="C1174" s="9"/>
      <c r="D1174" s="9"/>
      <c r="E1174" s="9"/>
    </row>
    <row r="1175" spans="3:5" x14ac:dyDescent="0.3">
      <c r="C1175" s="9"/>
      <c r="D1175" s="9"/>
      <c r="E1175" s="9"/>
    </row>
    <row r="1176" spans="3:5" x14ac:dyDescent="0.3">
      <c r="C1176" s="9"/>
      <c r="D1176" s="9"/>
      <c r="E1176" s="9"/>
    </row>
    <row r="1177" spans="3:5" x14ac:dyDescent="0.3">
      <c r="C1177" s="9"/>
      <c r="D1177" s="9"/>
      <c r="E1177" s="9"/>
    </row>
    <row r="1178" spans="3:5" x14ac:dyDescent="0.3">
      <c r="C1178" s="9"/>
      <c r="D1178" s="9"/>
      <c r="E1178" s="9"/>
    </row>
    <row r="1179" spans="3:5" x14ac:dyDescent="0.3">
      <c r="C1179" s="9"/>
      <c r="D1179" s="9"/>
      <c r="E1179" s="9"/>
    </row>
    <row r="1180" spans="3:5" x14ac:dyDescent="0.3">
      <c r="C1180" s="9"/>
      <c r="D1180" s="9"/>
      <c r="E1180" s="9"/>
    </row>
    <row r="1181" spans="3:5" x14ac:dyDescent="0.3">
      <c r="C1181" s="9"/>
      <c r="D1181" s="9"/>
      <c r="E1181" s="9"/>
    </row>
    <row r="1182" spans="3:5" x14ac:dyDescent="0.3">
      <c r="C1182" s="9"/>
      <c r="D1182" s="9"/>
      <c r="E1182" s="9"/>
    </row>
    <row r="1183" spans="3:5" x14ac:dyDescent="0.3">
      <c r="C1183" s="9"/>
      <c r="D1183" s="9"/>
      <c r="E1183" s="9"/>
    </row>
    <row r="1184" spans="3:5" x14ac:dyDescent="0.3">
      <c r="C1184" s="9"/>
      <c r="D1184" s="9"/>
      <c r="E1184" s="9"/>
    </row>
    <row r="1185" spans="3:5" x14ac:dyDescent="0.3">
      <c r="C1185" s="9"/>
      <c r="D1185" s="9"/>
      <c r="E1185" s="9"/>
    </row>
    <row r="1186" spans="3:5" x14ac:dyDescent="0.3">
      <c r="C1186" s="9"/>
      <c r="D1186" s="9"/>
      <c r="E1186" s="9"/>
    </row>
    <row r="1187" spans="3:5" x14ac:dyDescent="0.3">
      <c r="C1187" s="9"/>
      <c r="D1187" s="9"/>
      <c r="E1187" s="9"/>
    </row>
    <row r="1188" spans="3:5" x14ac:dyDescent="0.3">
      <c r="C1188" s="9"/>
      <c r="D1188" s="9"/>
      <c r="E1188" s="9"/>
    </row>
    <row r="1189" spans="3:5" x14ac:dyDescent="0.3">
      <c r="C1189" s="9"/>
      <c r="D1189" s="9"/>
      <c r="E1189" s="9"/>
    </row>
    <row r="1190" spans="3:5" x14ac:dyDescent="0.3">
      <c r="C1190" s="9"/>
      <c r="D1190" s="9"/>
      <c r="E1190" s="9"/>
    </row>
    <row r="1191" spans="3:5" x14ac:dyDescent="0.3">
      <c r="C1191" s="9"/>
      <c r="D1191" s="9"/>
      <c r="E1191" s="9"/>
    </row>
    <row r="1192" spans="3:5" x14ac:dyDescent="0.3">
      <c r="C1192" s="9"/>
      <c r="D1192" s="9"/>
      <c r="E1192" s="9"/>
    </row>
    <row r="1193" spans="3:5" x14ac:dyDescent="0.3">
      <c r="C1193" s="9"/>
      <c r="D1193" s="9"/>
      <c r="E1193" s="9"/>
    </row>
    <row r="1194" spans="3:5" x14ac:dyDescent="0.3">
      <c r="C1194" s="9"/>
      <c r="D1194" s="9"/>
      <c r="E1194" s="9"/>
    </row>
    <row r="1195" spans="3:5" x14ac:dyDescent="0.3">
      <c r="C1195" s="9"/>
      <c r="D1195" s="9"/>
      <c r="E1195" s="9"/>
    </row>
    <row r="1196" spans="3:5" x14ac:dyDescent="0.3">
      <c r="C1196" s="9"/>
      <c r="D1196" s="9"/>
      <c r="E1196" s="9"/>
    </row>
    <row r="1197" spans="3:5" x14ac:dyDescent="0.3">
      <c r="C1197" s="9"/>
      <c r="D1197" s="9"/>
      <c r="E1197" s="9"/>
    </row>
    <row r="1198" spans="3:5" x14ac:dyDescent="0.3">
      <c r="C1198" s="9"/>
      <c r="D1198" s="9"/>
      <c r="E1198" s="9"/>
    </row>
    <row r="1199" spans="3:5" x14ac:dyDescent="0.3">
      <c r="C1199" s="9"/>
      <c r="D1199" s="9"/>
      <c r="E1199" s="9"/>
    </row>
    <row r="1200" spans="3:5" x14ac:dyDescent="0.3">
      <c r="C1200" s="9"/>
      <c r="D1200" s="9"/>
      <c r="E1200" s="9"/>
    </row>
    <row r="1201" spans="3:5" x14ac:dyDescent="0.3">
      <c r="C1201" s="9"/>
      <c r="D1201" s="9"/>
      <c r="E1201" s="9"/>
    </row>
    <row r="1202" spans="3:5" x14ac:dyDescent="0.3">
      <c r="C1202" s="9"/>
      <c r="D1202" s="9"/>
      <c r="E1202" s="9"/>
    </row>
    <row r="1203" spans="3:5" x14ac:dyDescent="0.3">
      <c r="C1203" s="9"/>
      <c r="D1203" s="9"/>
      <c r="E1203" s="9"/>
    </row>
    <row r="1204" spans="3:5" x14ac:dyDescent="0.3">
      <c r="C1204" s="9"/>
      <c r="D1204" s="9"/>
      <c r="E1204" s="9"/>
    </row>
    <row r="1205" spans="3:5" x14ac:dyDescent="0.3">
      <c r="C1205" s="9"/>
      <c r="D1205" s="9"/>
      <c r="E1205" s="9"/>
    </row>
    <row r="1206" spans="3:5" x14ac:dyDescent="0.3">
      <c r="C1206" s="9"/>
      <c r="D1206" s="9"/>
      <c r="E1206" s="9"/>
    </row>
    <row r="1207" spans="3:5" x14ac:dyDescent="0.3">
      <c r="C1207" s="9"/>
      <c r="D1207" s="9"/>
      <c r="E1207" s="9"/>
    </row>
    <row r="1208" spans="3:5" x14ac:dyDescent="0.3">
      <c r="C1208" s="9"/>
      <c r="D1208" s="9"/>
      <c r="E1208" s="9"/>
    </row>
    <row r="1209" spans="3:5" x14ac:dyDescent="0.3">
      <c r="C1209" s="9"/>
      <c r="D1209" s="9"/>
      <c r="E1209" s="9"/>
    </row>
    <row r="1210" spans="3:5" x14ac:dyDescent="0.3">
      <c r="C1210" s="9"/>
      <c r="D1210" s="9"/>
      <c r="E1210" s="9"/>
    </row>
    <row r="1211" spans="3:5" x14ac:dyDescent="0.3">
      <c r="C1211" s="9"/>
      <c r="D1211" s="9"/>
      <c r="E1211" s="9"/>
    </row>
    <row r="1212" spans="3:5" x14ac:dyDescent="0.3">
      <c r="C1212" s="9"/>
      <c r="D1212" s="9"/>
      <c r="E1212" s="9"/>
    </row>
    <row r="1213" spans="3:5" x14ac:dyDescent="0.3">
      <c r="C1213" s="9"/>
      <c r="D1213" s="9"/>
      <c r="E1213" s="9"/>
    </row>
    <row r="1214" spans="3:5" x14ac:dyDescent="0.3">
      <c r="C1214" s="9"/>
      <c r="D1214" s="9"/>
      <c r="E1214" s="9"/>
    </row>
    <row r="1215" spans="3:5" x14ac:dyDescent="0.3">
      <c r="C1215" s="9"/>
      <c r="D1215" s="9"/>
      <c r="E1215" s="9"/>
    </row>
    <row r="1216" spans="3:5" x14ac:dyDescent="0.3">
      <c r="C1216" s="9"/>
      <c r="D1216" s="9"/>
      <c r="E1216" s="9"/>
    </row>
    <row r="1217" spans="3:5" x14ac:dyDescent="0.3">
      <c r="C1217" s="9"/>
      <c r="D1217" s="9"/>
      <c r="E1217" s="9"/>
    </row>
    <row r="1218" spans="3:5" x14ac:dyDescent="0.3">
      <c r="C1218" s="9"/>
      <c r="D1218" s="9"/>
      <c r="E1218" s="9"/>
    </row>
    <row r="1219" spans="3:5" x14ac:dyDescent="0.3">
      <c r="C1219" s="9"/>
      <c r="D1219" s="9"/>
      <c r="E1219" s="9"/>
    </row>
    <row r="1220" spans="3:5" x14ac:dyDescent="0.3">
      <c r="C1220" s="9"/>
      <c r="D1220" s="9"/>
      <c r="E1220" s="9"/>
    </row>
    <row r="1221" spans="3:5" x14ac:dyDescent="0.3">
      <c r="C1221" s="9"/>
      <c r="D1221" s="9"/>
      <c r="E1221" s="9"/>
    </row>
    <row r="1222" spans="3:5" x14ac:dyDescent="0.3">
      <c r="C1222" s="9"/>
      <c r="D1222" s="9"/>
      <c r="E1222" s="9"/>
    </row>
    <row r="1223" spans="3:5" x14ac:dyDescent="0.3">
      <c r="C1223" s="9"/>
      <c r="D1223" s="9"/>
      <c r="E1223" s="9"/>
    </row>
    <row r="1224" spans="3:5" x14ac:dyDescent="0.3">
      <c r="C1224" s="9"/>
      <c r="D1224" s="9"/>
      <c r="E1224" s="9"/>
    </row>
    <row r="1225" spans="3:5" x14ac:dyDescent="0.3">
      <c r="C1225" s="9"/>
      <c r="D1225" s="9"/>
      <c r="E1225" s="9"/>
    </row>
    <row r="1226" spans="3:5" x14ac:dyDescent="0.3">
      <c r="C1226" s="9"/>
      <c r="D1226" s="9"/>
      <c r="E1226" s="9"/>
    </row>
    <row r="1227" spans="3:5" x14ac:dyDescent="0.3">
      <c r="C1227" s="9"/>
      <c r="D1227" s="9"/>
      <c r="E1227" s="9"/>
    </row>
    <row r="1228" spans="3:5" x14ac:dyDescent="0.3">
      <c r="C1228" s="9"/>
      <c r="D1228" s="9"/>
      <c r="E1228" s="9"/>
    </row>
    <row r="1229" spans="3:5" x14ac:dyDescent="0.3">
      <c r="C1229" s="9"/>
      <c r="D1229" s="9"/>
      <c r="E1229" s="9"/>
    </row>
    <row r="1230" spans="3:5" x14ac:dyDescent="0.3">
      <c r="C1230" s="9"/>
      <c r="D1230" s="9"/>
      <c r="E1230" s="9"/>
    </row>
    <row r="1231" spans="3:5" x14ac:dyDescent="0.3">
      <c r="C1231" s="9"/>
      <c r="D1231" s="9"/>
      <c r="E1231" s="9"/>
    </row>
    <row r="1232" spans="3:5" x14ac:dyDescent="0.3">
      <c r="C1232" s="9"/>
      <c r="D1232" s="9"/>
      <c r="E1232" s="9"/>
    </row>
    <row r="1233" spans="3:5" x14ac:dyDescent="0.3">
      <c r="C1233" s="9"/>
      <c r="D1233" s="9"/>
      <c r="E1233" s="9"/>
    </row>
    <row r="1234" spans="3:5" x14ac:dyDescent="0.3">
      <c r="C1234" s="9"/>
      <c r="D1234" s="9"/>
      <c r="E1234" s="9"/>
    </row>
    <row r="1235" spans="3:5" x14ac:dyDescent="0.3">
      <c r="C1235" s="9"/>
      <c r="D1235" s="9"/>
      <c r="E1235" s="9"/>
    </row>
    <row r="1236" spans="3:5" x14ac:dyDescent="0.3">
      <c r="C1236" s="9"/>
      <c r="D1236" s="9"/>
      <c r="E1236" s="9"/>
    </row>
    <row r="1237" spans="3:5" x14ac:dyDescent="0.3">
      <c r="C1237" s="9"/>
      <c r="D1237" s="9"/>
      <c r="E1237" s="9"/>
    </row>
    <row r="1238" spans="3:5" x14ac:dyDescent="0.3">
      <c r="C1238" s="9"/>
      <c r="D1238" s="9"/>
      <c r="E1238" s="9"/>
    </row>
    <row r="1239" spans="3:5" x14ac:dyDescent="0.3">
      <c r="C1239" s="9"/>
      <c r="D1239" s="9"/>
      <c r="E1239" s="9"/>
    </row>
    <row r="1240" spans="3:5" x14ac:dyDescent="0.3">
      <c r="C1240" s="9"/>
      <c r="D1240" s="9"/>
      <c r="E1240" s="9"/>
    </row>
    <row r="1241" spans="3:5" x14ac:dyDescent="0.3">
      <c r="C1241" s="9"/>
      <c r="D1241" s="9"/>
      <c r="E1241" s="9"/>
    </row>
    <row r="1242" spans="3:5" x14ac:dyDescent="0.3">
      <c r="C1242" s="9"/>
      <c r="D1242" s="9"/>
      <c r="E1242" s="9"/>
    </row>
    <row r="1243" spans="3:5" x14ac:dyDescent="0.3">
      <c r="C1243" s="9"/>
      <c r="D1243" s="9"/>
      <c r="E1243" s="9"/>
    </row>
    <row r="1244" spans="3:5" x14ac:dyDescent="0.3">
      <c r="C1244" s="9"/>
      <c r="D1244" s="9"/>
      <c r="E1244" s="9"/>
    </row>
    <row r="1245" spans="3:5" x14ac:dyDescent="0.3">
      <c r="C1245" s="9"/>
      <c r="D1245" s="9"/>
      <c r="E1245" s="9"/>
    </row>
    <row r="1246" spans="3:5" x14ac:dyDescent="0.3">
      <c r="C1246" s="9"/>
      <c r="D1246" s="9"/>
      <c r="E1246" s="9"/>
    </row>
    <row r="1247" spans="3:5" x14ac:dyDescent="0.3">
      <c r="C1247" s="9"/>
      <c r="D1247" s="9"/>
      <c r="E1247" s="9"/>
    </row>
    <row r="1248" spans="3:5" x14ac:dyDescent="0.3">
      <c r="C1248" s="9"/>
      <c r="D1248" s="9"/>
      <c r="E1248" s="9"/>
    </row>
    <row r="1249" spans="3:5" x14ac:dyDescent="0.3">
      <c r="C1249" s="9"/>
      <c r="D1249" s="9"/>
      <c r="E1249" s="9"/>
    </row>
    <row r="1250" spans="3:5" x14ac:dyDescent="0.3">
      <c r="C1250" s="9"/>
      <c r="D1250" s="9"/>
      <c r="E1250" s="9"/>
    </row>
    <row r="1251" spans="3:5" x14ac:dyDescent="0.3">
      <c r="C1251" s="9"/>
      <c r="D1251" s="9"/>
      <c r="E1251" s="9"/>
    </row>
    <row r="1252" spans="3:5" x14ac:dyDescent="0.3">
      <c r="C1252" s="9"/>
      <c r="D1252" s="9"/>
      <c r="E1252" s="9"/>
    </row>
    <row r="1253" spans="3:5" x14ac:dyDescent="0.3">
      <c r="C1253" s="9"/>
      <c r="D1253" s="9"/>
      <c r="E1253" s="9"/>
    </row>
    <row r="1254" spans="3:5" x14ac:dyDescent="0.3">
      <c r="C1254" s="9"/>
      <c r="D1254" s="9"/>
      <c r="E1254" s="9"/>
    </row>
    <row r="1255" spans="3:5" x14ac:dyDescent="0.3">
      <c r="C1255" s="9"/>
      <c r="D1255" s="9"/>
      <c r="E1255" s="9"/>
    </row>
    <row r="1256" spans="3:5" x14ac:dyDescent="0.3">
      <c r="C1256" s="9"/>
      <c r="D1256" s="9"/>
      <c r="E1256" s="9"/>
    </row>
    <row r="1257" spans="3:5" x14ac:dyDescent="0.3">
      <c r="C1257" s="9"/>
      <c r="D1257" s="9"/>
      <c r="E1257" s="9"/>
    </row>
    <row r="1258" spans="3:5" x14ac:dyDescent="0.3">
      <c r="C1258" s="9"/>
      <c r="D1258" s="9"/>
      <c r="E1258" s="9"/>
    </row>
    <row r="1259" spans="3:5" x14ac:dyDescent="0.3">
      <c r="C1259" s="9"/>
      <c r="D1259" s="9"/>
      <c r="E1259" s="9"/>
    </row>
    <row r="1260" spans="3:5" x14ac:dyDescent="0.3">
      <c r="C1260" s="9"/>
      <c r="D1260" s="9"/>
      <c r="E1260" s="9"/>
    </row>
    <row r="1261" spans="3:5" x14ac:dyDescent="0.3">
      <c r="C1261" s="9"/>
      <c r="D1261" s="9"/>
      <c r="E1261" s="9"/>
    </row>
    <row r="1262" spans="3:5" x14ac:dyDescent="0.3">
      <c r="C1262" s="9"/>
      <c r="D1262" s="9"/>
      <c r="E1262" s="9"/>
    </row>
    <row r="1263" spans="3:5" x14ac:dyDescent="0.3">
      <c r="C1263" s="9"/>
      <c r="D1263" s="9"/>
      <c r="E1263" s="9"/>
    </row>
    <row r="1264" spans="3:5" x14ac:dyDescent="0.3">
      <c r="C1264" s="9"/>
      <c r="D1264" s="9"/>
      <c r="E1264" s="9"/>
    </row>
    <row r="1265" spans="3:5" x14ac:dyDescent="0.3">
      <c r="C1265" s="9"/>
      <c r="D1265" s="9"/>
      <c r="E1265" s="9"/>
    </row>
    <row r="1266" spans="3:5" x14ac:dyDescent="0.3">
      <c r="C1266" s="9"/>
      <c r="D1266" s="9"/>
      <c r="E1266" s="9"/>
    </row>
    <row r="1267" spans="3:5" x14ac:dyDescent="0.3">
      <c r="C1267" s="9"/>
      <c r="D1267" s="9"/>
      <c r="E1267" s="9"/>
    </row>
    <row r="1268" spans="3:5" x14ac:dyDescent="0.3">
      <c r="C1268" s="9"/>
      <c r="D1268" s="9"/>
      <c r="E1268" s="9"/>
    </row>
    <row r="1269" spans="3:5" x14ac:dyDescent="0.3">
      <c r="C1269" s="9"/>
      <c r="D1269" s="9"/>
      <c r="E1269" s="9"/>
    </row>
    <row r="1270" spans="3:5" x14ac:dyDescent="0.3">
      <c r="C1270" s="9"/>
      <c r="D1270" s="9"/>
      <c r="E1270" s="9"/>
    </row>
    <row r="1271" spans="3:5" x14ac:dyDescent="0.3">
      <c r="C1271" s="9"/>
      <c r="D1271" s="9"/>
      <c r="E1271" s="9"/>
    </row>
    <row r="1272" spans="3:5" x14ac:dyDescent="0.3">
      <c r="C1272" s="9"/>
      <c r="D1272" s="9"/>
      <c r="E1272" s="9"/>
    </row>
    <row r="1273" spans="3:5" x14ac:dyDescent="0.3">
      <c r="C1273" s="9"/>
      <c r="D1273" s="9"/>
      <c r="E1273" s="9"/>
    </row>
    <row r="1274" spans="3:5" x14ac:dyDescent="0.3">
      <c r="C1274" s="9"/>
      <c r="D1274" s="9"/>
      <c r="E1274" s="9"/>
    </row>
    <row r="1275" spans="3:5" x14ac:dyDescent="0.3">
      <c r="C1275" s="9"/>
      <c r="D1275" s="9"/>
      <c r="E1275" s="9"/>
    </row>
    <row r="1276" spans="3:5" x14ac:dyDescent="0.3">
      <c r="C1276" s="9"/>
      <c r="D1276" s="9"/>
      <c r="E1276" s="9"/>
    </row>
    <row r="1277" spans="3:5" x14ac:dyDescent="0.3">
      <c r="C1277" s="9"/>
      <c r="D1277" s="9"/>
      <c r="E1277" s="9"/>
    </row>
    <row r="1278" spans="3:5" x14ac:dyDescent="0.3">
      <c r="C1278" s="9"/>
      <c r="D1278" s="9"/>
      <c r="E1278" s="9"/>
    </row>
    <row r="1279" spans="3:5" x14ac:dyDescent="0.3">
      <c r="C1279" s="9"/>
      <c r="D1279" s="9"/>
      <c r="E1279" s="9"/>
    </row>
    <row r="1280" spans="3:5" x14ac:dyDescent="0.3">
      <c r="C1280" s="9"/>
      <c r="D1280" s="9"/>
      <c r="E1280" s="9"/>
    </row>
    <row r="1281" spans="3:5" x14ac:dyDescent="0.3">
      <c r="C1281" s="9"/>
      <c r="D1281" s="9"/>
      <c r="E1281" s="9"/>
    </row>
    <row r="1282" spans="3:5" x14ac:dyDescent="0.3">
      <c r="C1282" s="9"/>
      <c r="D1282" s="9"/>
      <c r="E1282" s="9"/>
    </row>
    <row r="1283" spans="3:5" x14ac:dyDescent="0.3">
      <c r="C1283" s="9"/>
      <c r="D1283" s="9"/>
      <c r="E1283" s="9"/>
    </row>
    <row r="1284" spans="3:5" x14ac:dyDescent="0.3">
      <c r="C1284" s="9"/>
      <c r="D1284" s="9"/>
      <c r="E1284" s="9"/>
    </row>
    <row r="1285" spans="3:5" x14ac:dyDescent="0.3">
      <c r="C1285" s="9"/>
      <c r="D1285" s="9"/>
      <c r="E1285" s="9"/>
    </row>
    <row r="1286" spans="3:5" x14ac:dyDescent="0.3">
      <c r="C1286" s="9"/>
      <c r="D1286" s="9"/>
      <c r="E1286" s="9"/>
    </row>
    <row r="1287" spans="3:5" x14ac:dyDescent="0.3">
      <c r="C1287" s="9"/>
      <c r="D1287" s="9"/>
      <c r="E1287" s="9"/>
    </row>
    <row r="1288" spans="3:5" x14ac:dyDescent="0.3">
      <c r="C1288" s="9"/>
      <c r="D1288" s="9"/>
      <c r="E1288" s="9"/>
    </row>
    <row r="1289" spans="3:5" x14ac:dyDescent="0.3">
      <c r="C1289" s="9"/>
      <c r="D1289" s="9"/>
      <c r="E1289" s="9"/>
    </row>
    <row r="1290" spans="3:5" x14ac:dyDescent="0.3">
      <c r="C1290" s="9"/>
      <c r="D1290" s="9"/>
      <c r="E1290" s="9"/>
    </row>
    <row r="1291" spans="3:5" x14ac:dyDescent="0.3">
      <c r="C1291" s="9"/>
      <c r="D1291" s="9"/>
      <c r="E1291" s="9"/>
    </row>
    <row r="1292" spans="3:5" x14ac:dyDescent="0.3">
      <c r="C1292" s="9"/>
      <c r="D1292" s="9"/>
      <c r="E1292" s="9"/>
    </row>
    <row r="1293" spans="3:5" x14ac:dyDescent="0.3">
      <c r="C1293" s="9"/>
      <c r="D1293" s="9"/>
      <c r="E1293" s="9"/>
    </row>
    <row r="1294" spans="3:5" x14ac:dyDescent="0.3">
      <c r="C1294" s="9"/>
      <c r="D1294" s="9"/>
      <c r="E1294" s="9"/>
    </row>
    <row r="1295" spans="3:5" x14ac:dyDescent="0.3">
      <c r="C1295" s="9"/>
      <c r="D1295" s="9"/>
      <c r="E1295" s="9"/>
    </row>
    <row r="1296" spans="3:5" x14ac:dyDescent="0.3">
      <c r="C1296" s="9"/>
      <c r="D1296" s="9"/>
      <c r="E1296" s="9"/>
    </row>
    <row r="1297" spans="3:5" x14ac:dyDescent="0.3">
      <c r="C1297" s="9"/>
      <c r="D1297" s="9"/>
      <c r="E1297" s="9"/>
    </row>
    <row r="1298" spans="3:5" x14ac:dyDescent="0.3">
      <c r="C1298" s="9"/>
      <c r="D1298" s="9"/>
      <c r="E1298" s="9"/>
    </row>
    <row r="1299" spans="3:5" x14ac:dyDescent="0.3">
      <c r="C1299" s="9"/>
      <c r="D1299" s="9"/>
      <c r="E1299" s="9"/>
    </row>
    <row r="1300" spans="3:5" x14ac:dyDescent="0.3">
      <c r="C1300" s="9"/>
      <c r="D1300" s="9"/>
      <c r="E1300" s="9"/>
    </row>
    <row r="1301" spans="3:5" x14ac:dyDescent="0.3">
      <c r="C1301" s="9"/>
      <c r="D1301" s="9"/>
      <c r="E1301" s="9"/>
    </row>
    <row r="1302" spans="3:5" x14ac:dyDescent="0.3">
      <c r="C1302" s="9"/>
      <c r="D1302" s="9"/>
      <c r="E1302" s="9"/>
    </row>
    <row r="1303" spans="3:5" x14ac:dyDescent="0.3">
      <c r="C1303" s="9"/>
      <c r="D1303" s="9"/>
      <c r="E1303" s="9"/>
    </row>
    <row r="1304" spans="3:5" x14ac:dyDescent="0.3">
      <c r="C1304" s="9"/>
      <c r="D1304" s="9"/>
      <c r="E1304" s="9"/>
    </row>
    <row r="1305" spans="3:5" x14ac:dyDescent="0.3">
      <c r="C1305" s="9"/>
      <c r="D1305" s="9"/>
      <c r="E1305" s="9"/>
    </row>
    <row r="1306" spans="3:5" x14ac:dyDescent="0.3">
      <c r="C1306" s="9"/>
      <c r="D1306" s="9"/>
      <c r="E1306" s="9"/>
    </row>
    <row r="1307" spans="3:5" x14ac:dyDescent="0.3">
      <c r="C1307" s="9"/>
      <c r="D1307" s="9"/>
      <c r="E1307" s="9"/>
    </row>
    <row r="1308" spans="3:5" x14ac:dyDescent="0.3">
      <c r="C1308" s="9"/>
      <c r="D1308" s="9"/>
      <c r="E1308" s="9"/>
    </row>
    <row r="1309" spans="3:5" x14ac:dyDescent="0.3">
      <c r="C1309" s="9"/>
      <c r="D1309" s="9"/>
      <c r="E1309" s="9"/>
    </row>
    <row r="1310" spans="3:5" x14ac:dyDescent="0.3">
      <c r="C1310" s="9"/>
      <c r="D1310" s="9"/>
      <c r="E1310" s="9"/>
    </row>
    <row r="1311" spans="3:5" x14ac:dyDescent="0.3">
      <c r="C1311" s="9"/>
      <c r="D1311" s="9"/>
      <c r="E1311" s="9"/>
    </row>
    <row r="1312" spans="3:5" x14ac:dyDescent="0.3">
      <c r="C1312" s="9"/>
      <c r="D1312" s="9"/>
      <c r="E1312" s="9"/>
    </row>
    <row r="1313" spans="3:5" x14ac:dyDescent="0.3">
      <c r="C1313" s="9"/>
      <c r="D1313" s="9"/>
      <c r="E1313" s="9"/>
    </row>
    <row r="1314" spans="3:5" x14ac:dyDescent="0.3">
      <c r="C1314" s="9"/>
      <c r="D1314" s="9"/>
      <c r="E1314" s="9"/>
    </row>
    <row r="1315" spans="3:5" x14ac:dyDescent="0.3">
      <c r="C1315" s="9"/>
      <c r="D1315" s="9"/>
      <c r="E1315" s="9"/>
    </row>
    <row r="1316" spans="3:5" x14ac:dyDescent="0.3">
      <c r="C1316" s="9"/>
      <c r="D1316" s="9"/>
      <c r="E1316" s="9"/>
    </row>
    <row r="1317" spans="3:5" x14ac:dyDescent="0.3">
      <c r="C1317" s="9"/>
      <c r="D1317" s="9"/>
      <c r="E1317" s="9"/>
    </row>
    <row r="1318" spans="3:5" x14ac:dyDescent="0.3">
      <c r="C1318" s="9"/>
      <c r="D1318" s="9"/>
      <c r="E1318" s="9"/>
    </row>
    <row r="1319" spans="3:5" x14ac:dyDescent="0.3">
      <c r="C1319" s="9"/>
      <c r="D1319" s="9"/>
      <c r="E1319" s="9"/>
    </row>
    <row r="1320" spans="3:5" x14ac:dyDescent="0.3">
      <c r="C1320" s="9"/>
      <c r="D1320" s="9"/>
      <c r="E1320" s="9"/>
    </row>
    <row r="1321" spans="3:5" x14ac:dyDescent="0.3">
      <c r="C1321" s="9"/>
      <c r="D1321" s="9"/>
      <c r="E1321" s="9"/>
    </row>
    <row r="1322" spans="3:5" x14ac:dyDescent="0.3">
      <c r="C1322" s="9"/>
      <c r="D1322" s="9"/>
      <c r="E1322" s="9"/>
    </row>
    <row r="1323" spans="3:5" x14ac:dyDescent="0.3">
      <c r="C1323" s="9"/>
      <c r="D1323" s="9"/>
      <c r="E1323" s="9"/>
    </row>
    <row r="1324" spans="3:5" x14ac:dyDescent="0.3">
      <c r="C1324" s="9"/>
      <c r="D1324" s="9"/>
      <c r="E1324" s="9"/>
    </row>
    <row r="1325" spans="3:5" x14ac:dyDescent="0.3">
      <c r="C1325" s="9"/>
      <c r="D1325" s="9"/>
      <c r="E1325" s="9"/>
    </row>
    <row r="1326" spans="3:5" x14ac:dyDescent="0.3">
      <c r="C1326" s="9"/>
      <c r="D1326" s="9"/>
      <c r="E1326" s="9"/>
    </row>
    <row r="1327" spans="3:5" x14ac:dyDescent="0.3">
      <c r="C1327" s="9"/>
      <c r="D1327" s="9"/>
      <c r="E1327" s="9"/>
    </row>
    <row r="1328" spans="3:5" x14ac:dyDescent="0.3">
      <c r="C1328" s="9"/>
      <c r="D1328" s="9"/>
      <c r="E1328" s="9"/>
    </row>
    <row r="1329" spans="3:5" x14ac:dyDescent="0.3">
      <c r="C1329" s="9"/>
      <c r="D1329" s="9"/>
      <c r="E1329" s="9"/>
    </row>
    <row r="1330" spans="3:5" x14ac:dyDescent="0.3">
      <c r="C1330" s="9"/>
      <c r="D1330" s="9"/>
      <c r="E1330" s="9"/>
    </row>
    <row r="1331" spans="3:5" x14ac:dyDescent="0.3">
      <c r="C1331" s="9"/>
      <c r="D1331" s="9"/>
      <c r="E1331" s="9"/>
    </row>
    <row r="1332" spans="3:5" x14ac:dyDescent="0.3">
      <c r="C1332" s="9"/>
      <c r="D1332" s="9"/>
      <c r="E1332" s="9"/>
    </row>
    <row r="1333" spans="3:5" x14ac:dyDescent="0.3">
      <c r="C1333" s="9"/>
      <c r="D1333" s="9"/>
      <c r="E1333" s="9"/>
    </row>
    <row r="1334" spans="3:5" x14ac:dyDescent="0.3">
      <c r="C1334" s="9"/>
      <c r="D1334" s="9"/>
      <c r="E1334" s="9"/>
    </row>
    <row r="1335" spans="3:5" x14ac:dyDescent="0.3">
      <c r="C1335" s="9"/>
      <c r="D1335" s="9"/>
      <c r="E1335" s="9"/>
    </row>
    <row r="1336" spans="3:5" x14ac:dyDescent="0.3">
      <c r="C1336" s="9"/>
      <c r="D1336" s="9"/>
      <c r="E1336" s="9"/>
    </row>
    <row r="1337" spans="3:5" x14ac:dyDescent="0.3">
      <c r="C1337" s="9"/>
      <c r="D1337" s="9"/>
      <c r="E1337" s="9"/>
    </row>
    <row r="1338" spans="3:5" x14ac:dyDescent="0.3">
      <c r="C1338" s="9"/>
      <c r="D1338" s="9"/>
      <c r="E1338" s="9"/>
    </row>
    <row r="1339" spans="3:5" x14ac:dyDescent="0.3">
      <c r="C1339" s="9"/>
      <c r="D1339" s="9"/>
      <c r="E1339" s="9"/>
    </row>
    <row r="1340" spans="3:5" x14ac:dyDescent="0.3">
      <c r="C1340" s="9"/>
      <c r="D1340" s="9"/>
      <c r="E1340" s="9"/>
    </row>
    <row r="1341" spans="3:5" x14ac:dyDescent="0.3">
      <c r="C1341" s="9"/>
      <c r="D1341" s="9"/>
      <c r="E1341" s="9"/>
    </row>
    <row r="1342" spans="3:5" x14ac:dyDescent="0.3">
      <c r="C1342" s="9"/>
      <c r="D1342" s="9"/>
      <c r="E1342" s="9"/>
    </row>
    <row r="1343" spans="3:5" x14ac:dyDescent="0.3">
      <c r="C1343" s="9"/>
      <c r="D1343" s="9"/>
      <c r="E1343" s="9"/>
    </row>
    <row r="1344" spans="3:5" x14ac:dyDescent="0.3">
      <c r="C1344" s="9"/>
      <c r="D1344" s="9"/>
      <c r="E1344" s="9"/>
    </row>
    <row r="1345" spans="3:5" x14ac:dyDescent="0.3">
      <c r="C1345" s="9"/>
      <c r="D1345" s="9"/>
      <c r="E1345" s="9"/>
    </row>
    <row r="1346" spans="3:5" x14ac:dyDescent="0.3">
      <c r="C1346" s="9"/>
      <c r="D1346" s="9"/>
      <c r="E1346" s="9"/>
    </row>
    <row r="1347" spans="3:5" x14ac:dyDescent="0.3">
      <c r="C1347" s="9"/>
      <c r="D1347" s="9"/>
      <c r="E1347" s="9"/>
    </row>
    <row r="1348" spans="3:5" x14ac:dyDescent="0.3">
      <c r="C1348" s="9"/>
      <c r="D1348" s="9"/>
      <c r="E1348" s="9"/>
    </row>
    <row r="1349" spans="3:5" x14ac:dyDescent="0.3">
      <c r="C1349" s="9"/>
      <c r="D1349" s="9"/>
      <c r="E1349" s="9"/>
    </row>
    <row r="1350" spans="3:5" x14ac:dyDescent="0.3">
      <c r="C1350" s="9"/>
      <c r="D1350" s="9"/>
      <c r="E1350" s="9"/>
    </row>
    <row r="1351" spans="3:5" x14ac:dyDescent="0.3">
      <c r="C1351" s="9"/>
      <c r="D1351" s="9"/>
      <c r="E1351" s="9"/>
    </row>
    <row r="1352" spans="3:5" x14ac:dyDescent="0.3">
      <c r="C1352" s="9"/>
      <c r="D1352" s="9"/>
      <c r="E1352" s="9"/>
    </row>
    <row r="1353" spans="3:5" x14ac:dyDescent="0.3">
      <c r="C1353" s="9"/>
      <c r="D1353" s="9"/>
      <c r="E1353" s="9"/>
    </row>
    <row r="1354" spans="3:5" x14ac:dyDescent="0.3">
      <c r="C1354" s="9"/>
      <c r="D1354" s="9"/>
      <c r="E1354" s="9"/>
    </row>
    <row r="1355" spans="3:5" x14ac:dyDescent="0.3">
      <c r="C1355" s="9"/>
      <c r="D1355" s="9"/>
      <c r="E1355" s="9"/>
    </row>
    <row r="1356" spans="3:5" x14ac:dyDescent="0.3">
      <c r="C1356" s="9"/>
      <c r="D1356" s="9"/>
      <c r="E1356" s="9"/>
    </row>
    <row r="1357" spans="3:5" x14ac:dyDescent="0.3">
      <c r="C1357" s="9"/>
      <c r="D1357" s="9"/>
      <c r="E1357" s="9"/>
    </row>
    <row r="1358" spans="3:5" x14ac:dyDescent="0.3">
      <c r="C1358" s="9"/>
      <c r="D1358" s="9"/>
      <c r="E1358" s="9"/>
    </row>
    <row r="1359" spans="3:5" x14ac:dyDescent="0.3">
      <c r="C1359" s="9"/>
      <c r="D1359" s="9"/>
      <c r="E1359" s="9"/>
    </row>
    <row r="1360" spans="3:5" x14ac:dyDescent="0.3">
      <c r="C1360" s="9"/>
      <c r="D1360" s="9"/>
      <c r="E1360" s="9"/>
    </row>
    <row r="1361" spans="3:5" x14ac:dyDescent="0.3">
      <c r="C1361" s="9"/>
      <c r="D1361" s="9"/>
      <c r="E1361" s="9"/>
    </row>
    <row r="1362" spans="3:5" x14ac:dyDescent="0.3">
      <c r="C1362" s="9"/>
      <c r="D1362" s="9"/>
      <c r="E1362" s="9"/>
    </row>
    <row r="1363" spans="3:5" x14ac:dyDescent="0.3">
      <c r="C1363" s="9"/>
      <c r="D1363" s="9"/>
      <c r="E1363" s="9"/>
    </row>
    <row r="1364" spans="3:5" x14ac:dyDescent="0.3">
      <c r="C1364" s="9"/>
      <c r="D1364" s="9"/>
      <c r="E1364" s="9"/>
    </row>
    <row r="1365" spans="3:5" x14ac:dyDescent="0.3">
      <c r="C1365" s="9"/>
      <c r="D1365" s="9"/>
      <c r="E1365" s="9"/>
    </row>
    <row r="1366" spans="3:5" x14ac:dyDescent="0.3">
      <c r="C1366" s="9"/>
      <c r="D1366" s="9"/>
      <c r="E1366" s="9"/>
    </row>
    <row r="1367" spans="3:5" x14ac:dyDescent="0.3">
      <c r="C1367" s="9"/>
      <c r="D1367" s="9"/>
      <c r="E1367" s="9"/>
    </row>
    <row r="1368" spans="3:5" x14ac:dyDescent="0.3">
      <c r="C1368" s="9"/>
      <c r="D1368" s="9"/>
      <c r="E1368" s="9"/>
    </row>
    <row r="1369" spans="3:5" x14ac:dyDescent="0.3">
      <c r="C1369" s="9"/>
      <c r="D1369" s="9"/>
      <c r="E1369" s="9"/>
    </row>
    <row r="1370" spans="3:5" x14ac:dyDescent="0.3">
      <c r="C1370" s="9"/>
      <c r="D1370" s="9"/>
      <c r="E1370" s="9"/>
    </row>
    <row r="1371" spans="3:5" x14ac:dyDescent="0.3">
      <c r="C1371" s="9"/>
      <c r="D1371" s="9"/>
      <c r="E1371" s="9"/>
    </row>
    <row r="1372" spans="3:5" x14ac:dyDescent="0.3">
      <c r="C1372" s="9"/>
      <c r="D1372" s="9"/>
      <c r="E1372" s="9"/>
    </row>
    <row r="1373" spans="3:5" x14ac:dyDescent="0.3">
      <c r="C1373" s="9"/>
      <c r="D1373" s="9"/>
      <c r="E1373" s="9"/>
    </row>
    <row r="1374" spans="3:5" x14ac:dyDescent="0.3">
      <c r="C1374" s="9"/>
      <c r="D1374" s="9"/>
      <c r="E1374" s="9"/>
    </row>
    <row r="1375" spans="3:5" x14ac:dyDescent="0.3">
      <c r="C1375" s="9"/>
      <c r="D1375" s="9"/>
      <c r="E1375" s="9"/>
    </row>
    <row r="1376" spans="3:5" x14ac:dyDescent="0.3">
      <c r="C1376" s="9"/>
      <c r="D1376" s="9"/>
      <c r="E1376" s="9"/>
    </row>
    <row r="1377" spans="3:5" x14ac:dyDescent="0.3">
      <c r="C1377" s="9"/>
      <c r="D1377" s="9"/>
      <c r="E1377" s="9"/>
    </row>
    <row r="1378" spans="3:5" x14ac:dyDescent="0.3">
      <c r="C1378" s="9"/>
      <c r="D1378" s="9"/>
      <c r="E1378" s="9"/>
    </row>
    <row r="1379" spans="3:5" x14ac:dyDescent="0.3">
      <c r="C1379" s="9"/>
      <c r="D1379" s="9"/>
      <c r="E1379" s="9"/>
    </row>
    <row r="1380" spans="3:5" x14ac:dyDescent="0.3">
      <c r="C1380" s="9"/>
      <c r="D1380" s="9"/>
      <c r="E1380" s="9"/>
    </row>
    <row r="1381" spans="3:5" x14ac:dyDescent="0.3">
      <c r="C1381" s="9"/>
      <c r="D1381" s="9"/>
      <c r="E1381" s="9"/>
    </row>
    <row r="1382" spans="3:5" x14ac:dyDescent="0.3">
      <c r="C1382" s="9"/>
      <c r="D1382" s="9"/>
      <c r="E1382" s="9"/>
    </row>
    <row r="1383" spans="3:5" x14ac:dyDescent="0.3">
      <c r="C1383" s="9"/>
      <c r="D1383" s="9"/>
      <c r="E1383" s="9"/>
    </row>
    <row r="1384" spans="3:5" x14ac:dyDescent="0.3">
      <c r="C1384" s="9"/>
      <c r="D1384" s="9"/>
      <c r="E1384" s="9"/>
    </row>
    <row r="1385" spans="3:5" x14ac:dyDescent="0.3">
      <c r="C1385" s="9"/>
      <c r="D1385" s="9"/>
      <c r="E1385" s="9"/>
    </row>
    <row r="1386" spans="3:5" x14ac:dyDescent="0.3">
      <c r="C1386" s="9"/>
      <c r="D1386" s="9"/>
      <c r="E1386" s="9"/>
    </row>
    <row r="1387" spans="3:5" x14ac:dyDescent="0.3">
      <c r="C1387" s="9"/>
      <c r="D1387" s="9"/>
      <c r="E1387" s="9"/>
    </row>
    <row r="1388" spans="3:5" x14ac:dyDescent="0.3">
      <c r="C1388" s="9"/>
      <c r="D1388" s="9"/>
      <c r="E1388" s="9"/>
    </row>
    <row r="1389" spans="3:5" x14ac:dyDescent="0.3">
      <c r="C1389" s="9"/>
      <c r="D1389" s="9"/>
      <c r="E1389" s="9"/>
    </row>
    <row r="1390" spans="3:5" x14ac:dyDescent="0.3">
      <c r="C1390" s="9"/>
      <c r="D1390" s="9"/>
      <c r="E1390" s="9"/>
    </row>
    <row r="1391" spans="3:5" x14ac:dyDescent="0.3">
      <c r="C1391" s="9"/>
      <c r="D1391" s="9"/>
      <c r="E1391" s="9"/>
    </row>
    <row r="1392" spans="3:5" x14ac:dyDescent="0.3">
      <c r="C1392" s="9"/>
      <c r="D1392" s="9"/>
      <c r="E1392" s="9"/>
    </row>
    <row r="1393" spans="3:5" x14ac:dyDescent="0.3">
      <c r="C1393" s="9"/>
      <c r="D1393" s="9"/>
      <c r="E1393" s="9"/>
    </row>
    <row r="1394" spans="3:5" x14ac:dyDescent="0.3">
      <c r="C1394" s="9"/>
      <c r="D1394" s="9"/>
      <c r="E1394" s="9"/>
    </row>
    <row r="1395" spans="3:5" x14ac:dyDescent="0.3">
      <c r="C1395" s="9"/>
      <c r="D1395" s="9"/>
      <c r="E1395" s="9"/>
    </row>
    <row r="1396" spans="3:5" x14ac:dyDescent="0.3">
      <c r="C1396" s="9"/>
      <c r="D1396" s="9"/>
      <c r="E1396" s="9"/>
    </row>
    <row r="1397" spans="3:5" x14ac:dyDescent="0.3">
      <c r="C1397" s="9"/>
      <c r="D1397" s="9"/>
      <c r="E1397" s="9"/>
    </row>
    <row r="1398" spans="3:5" x14ac:dyDescent="0.3">
      <c r="C1398" s="9"/>
      <c r="D1398" s="9"/>
      <c r="E1398" s="9"/>
    </row>
    <row r="1399" spans="3:5" x14ac:dyDescent="0.3">
      <c r="C1399" s="9"/>
      <c r="D1399" s="9"/>
      <c r="E1399" s="9"/>
    </row>
    <row r="1400" spans="3:5" x14ac:dyDescent="0.3">
      <c r="C1400" s="9"/>
      <c r="D1400" s="9"/>
      <c r="E1400" s="9"/>
    </row>
    <row r="1401" spans="3:5" x14ac:dyDescent="0.3">
      <c r="C1401" s="9"/>
      <c r="D1401" s="9"/>
      <c r="E1401" s="9"/>
    </row>
    <row r="1402" spans="3:5" x14ac:dyDescent="0.3">
      <c r="C1402" s="9"/>
      <c r="D1402" s="9"/>
      <c r="E1402" s="9"/>
    </row>
    <row r="1403" spans="3:5" x14ac:dyDescent="0.3">
      <c r="C1403" s="9"/>
      <c r="D1403" s="9"/>
      <c r="E1403" s="9"/>
    </row>
    <row r="1404" spans="3:5" x14ac:dyDescent="0.3">
      <c r="C1404" s="9"/>
      <c r="D1404" s="9"/>
      <c r="E1404" s="9"/>
    </row>
    <row r="1405" spans="3:5" x14ac:dyDescent="0.3">
      <c r="C1405" s="9"/>
      <c r="D1405" s="9"/>
      <c r="E1405" s="9"/>
    </row>
    <row r="1406" spans="3:5" x14ac:dyDescent="0.3">
      <c r="C1406" s="9"/>
      <c r="D1406" s="9"/>
      <c r="E1406" s="9"/>
    </row>
    <row r="1407" spans="3:5" x14ac:dyDescent="0.3">
      <c r="C1407" s="9"/>
      <c r="D1407" s="9"/>
      <c r="E1407" s="9"/>
    </row>
    <row r="1408" spans="3:5" x14ac:dyDescent="0.3">
      <c r="C1408" s="9"/>
      <c r="D1408" s="9"/>
      <c r="E1408" s="9"/>
    </row>
    <row r="1409" spans="3:5" x14ac:dyDescent="0.3">
      <c r="C1409" s="9"/>
      <c r="D1409" s="9"/>
      <c r="E1409" s="9"/>
    </row>
    <row r="1410" spans="3:5" x14ac:dyDescent="0.3">
      <c r="C1410" s="9"/>
      <c r="D1410" s="9"/>
      <c r="E1410" s="9"/>
    </row>
    <row r="1411" spans="3:5" x14ac:dyDescent="0.3">
      <c r="C1411" s="9"/>
      <c r="D1411" s="9"/>
      <c r="E1411" s="9"/>
    </row>
    <row r="1412" spans="3:5" x14ac:dyDescent="0.3">
      <c r="C1412" s="9"/>
      <c r="D1412" s="9"/>
      <c r="E1412" s="9"/>
    </row>
    <row r="1413" spans="3:5" x14ac:dyDescent="0.3">
      <c r="C1413" s="9"/>
      <c r="D1413" s="9"/>
      <c r="E1413" s="9"/>
    </row>
    <row r="1414" spans="3:5" x14ac:dyDescent="0.3">
      <c r="C1414" s="9"/>
      <c r="D1414" s="9"/>
      <c r="E1414" s="9"/>
    </row>
    <row r="1415" spans="3:5" x14ac:dyDescent="0.3">
      <c r="C1415" s="9"/>
      <c r="D1415" s="9"/>
      <c r="E1415" s="9"/>
    </row>
    <row r="1416" spans="3:5" x14ac:dyDescent="0.3">
      <c r="C1416" s="9"/>
      <c r="D1416" s="9"/>
      <c r="E1416" s="9"/>
    </row>
    <row r="1417" spans="3:5" x14ac:dyDescent="0.3">
      <c r="C1417" s="9"/>
      <c r="D1417" s="9"/>
      <c r="E1417" s="9"/>
    </row>
    <row r="1418" spans="3:5" x14ac:dyDescent="0.3">
      <c r="C1418" s="9"/>
      <c r="D1418" s="9"/>
      <c r="E1418" s="9"/>
    </row>
    <row r="1419" spans="3:5" x14ac:dyDescent="0.3">
      <c r="C1419" s="9"/>
      <c r="D1419" s="9"/>
      <c r="E1419" s="9"/>
    </row>
    <row r="1420" spans="3:5" x14ac:dyDescent="0.3">
      <c r="C1420" s="9"/>
      <c r="D1420" s="9"/>
      <c r="E1420" s="9"/>
    </row>
    <row r="1421" spans="3:5" x14ac:dyDescent="0.3">
      <c r="C1421" s="9"/>
      <c r="D1421" s="9"/>
      <c r="E1421" s="9"/>
    </row>
    <row r="1422" spans="3:5" x14ac:dyDescent="0.3">
      <c r="C1422" s="9"/>
      <c r="D1422" s="9"/>
      <c r="E1422" s="9"/>
    </row>
    <row r="1423" spans="3:5" x14ac:dyDescent="0.3">
      <c r="C1423" s="9"/>
      <c r="D1423" s="9"/>
      <c r="E1423" s="9"/>
    </row>
    <row r="1424" spans="3:5" x14ac:dyDescent="0.3">
      <c r="C1424" s="9"/>
      <c r="D1424" s="9"/>
      <c r="E1424" s="9"/>
    </row>
    <row r="1425" spans="3:5" x14ac:dyDescent="0.3">
      <c r="C1425" s="9"/>
      <c r="D1425" s="9"/>
      <c r="E1425" s="9"/>
    </row>
    <row r="1426" spans="3:5" x14ac:dyDescent="0.3">
      <c r="C1426" s="9"/>
      <c r="D1426" s="9"/>
      <c r="E1426" s="9"/>
    </row>
    <row r="1427" spans="3:5" x14ac:dyDescent="0.3">
      <c r="C1427" s="9"/>
      <c r="D1427" s="9"/>
      <c r="E1427" s="9"/>
    </row>
    <row r="1428" spans="3:5" x14ac:dyDescent="0.3">
      <c r="C1428" s="9"/>
      <c r="D1428" s="9"/>
      <c r="E1428" s="9"/>
    </row>
    <row r="1429" spans="3:5" x14ac:dyDescent="0.3">
      <c r="C1429" s="9"/>
      <c r="D1429" s="9"/>
      <c r="E1429" s="9"/>
    </row>
    <row r="1430" spans="3:5" x14ac:dyDescent="0.3">
      <c r="C1430" s="9"/>
      <c r="D1430" s="9"/>
      <c r="E1430" s="9"/>
    </row>
    <row r="1431" spans="3:5" x14ac:dyDescent="0.3">
      <c r="C1431" s="9"/>
      <c r="D1431" s="9"/>
      <c r="E1431" s="9"/>
    </row>
    <row r="1432" spans="3:5" x14ac:dyDescent="0.3">
      <c r="C1432" s="9"/>
      <c r="D1432" s="9"/>
      <c r="E1432" s="9"/>
    </row>
  </sheetData>
  <sortState xmlns:xlrd2="http://schemas.microsoft.com/office/spreadsheetml/2017/richdata2" ref="B4:I69">
    <sortCondition ref="B4:B69"/>
  </sortState>
  <phoneticPr fontId="2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FBC6-2883-41DC-9F79-080EA84CD0FE}">
  <dimension ref="A1:B67"/>
  <sheetViews>
    <sheetView tabSelected="1" workbookViewId="0">
      <selection activeCell="D5" sqref="D5"/>
    </sheetView>
  </sheetViews>
  <sheetFormatPr defaultRowHeight="14.4" x14ac:dyDescent="0.3"/>
  <cols>
    <col min="1" max="1" width="9.21875" style="23" bestFit="1" customWidth="1"/>
    <col min="2" max="2" width="20.88671875" bestFit="1" customWidth="1"/>
  </cols>
  <sheetData>
    <row r="1" spans="1:2" x14ac:dyDescent="0.3">
      <c r="A1" s="24" t="s">
        <v>0</v>
      </c>
      <c r="B1" s="4" t="s">
        <v>52</v>
      </c>
    </row>
    <row r="2" spans="1:2" x14ac:dyDescent="0.3">
      <c r="A2" s="24">
        <v>42005</v>
      </c>
      <c r="B2" s="6">
        <v>1278.5</v>
      </c>
    </row>
    <row r="3" spans="1:2" x14ac:dyDescent="0.3">
      <c r="A3" s="24">
        <v>42036</v>
      </c>
      <c r="B3" s="6">
        <v>1212.5999999999999</v>
      </c>
    </row>
    <row r="4" spans="1:2" x14ac:dyDescent="0.3">
      <c r="A4" s="24">
        <v>42064</v>
      </c>
      <c r="B4" s="6">
        <v>1183.0999999999999</v>
      </c>
    </row>
    <row r="5" spans="1:2" x14ac:dyDescent="0.3">
      <c r="A5" s="24">
        <v>42095</v>
      </c>
      <c r="B5" s="6">
        <v>1182.4000000000001</v>
      </c>
    </row>
    <row r="6" spans="1:2" x14ac:dyDescent="0.3">
      <c r="A6" s="24">
        <v>42125</v>
      </c>
      <c r="B6" s="6">
        <v>1189.4000000000001</v>
      </c>
    </row>
    <row r="7" spans="1:2" x14ac:dyDescent="0.3">
      <c r="A7" s="24">
        <v>42156</v>
      </c>
      <c r="B7" s="6">
        <v>1171.5</v>
      </c>
    </row>
    <row r="8" spans="1:2" x14ac:dyDescent="0.3">
      <c r="A8" s="24">
        <v>42186</v>
      </c>
      <c r="B8" s="6">
        <v>1094.9000000000001</v>
      </c>
    </row>
    <row r="9" spans="1:2" x14ac:dyDescent="0.3">
      <c r="A9" s="24">
        <v>42217</v>
      </c>
      <c r="B9" s="6">
        <v>1131.5999999999999</v>
      </c>
    </row>
    <row r="10" spans="1:2" x14ac:dyDescent="0.3">
      <c r="A10" s="24">
        <v>42248</v>
      </c>
      <c r="B10" s="6">
        <v>1115.5</v>
      </c>
    </row>
    <row r="11" spans="1:2" x14ac:dyDescent="0.3">
      <c r="A11" s="24">
        <v>42278</v>
      </c>
      <c r="B11" s="6">
        <v>1141.5</v>
      </c>
    </row>
    <row r="12" spans="1:2" x14ac:dyDescent="0.3">
      <c r="A12" s="24">
        <v>42309</v>
      </c>
      <c r="B12" s="6">
        <v>1065.8</v>
      </c>
    </row>
    <row r="13" spans="1:2" x14ac:dyDescent="0.3">
      <c r="A13" s="24">
        <v>42339</v>
      </c>
      <c r="B13" s="6">
        <v>1060.3</v>
      </c>
    </row>
    <row r="14" spans="1:2" x14ac:dyDescent="0.3">
      <c r="A14" s="24">
        <v>42370</v>
      </c>
      <c r="B14" s="6">
        <v>1116.4000000000001</v>
      </c>
    </row>
    <row r="15" spans="1:2" x14ac:dyDescent="0.3">
      <c r="A15" s="24">
        <v>42401</v>
      </c>
      <c r="B15" s="6">
        <v>1233.9000000000001</v>
      </c>
    </row>
    <row r="16" spans="1:2" x14ac:dyDescent="0.3">
      <c r="A16" s="24">
        <v>42430</v>
      </c>
      <c r="B16" s="6">
        <v>1234.2</v>
      </c>
    </row>
    <row r="17" spans="1:2" x14ac:dyDescent="0.3">
      <c r="A17" s="24">
        <v>42461</v>
      </c>
      <c r="B17" s="6">
        <v>1289.2</v>
      </c>
    </row>
    <row r="18" spans="1:2" x14ac:dyDescent="0.3">
      <c r="A18" s="24">
        <v>42491</v>
      </c>
      <c r="B18" s="6">
        <v>1214.8</v>
      </c>
    </row>
    <row r="19" spans="1:2" x14ac:dyDescent="0.3">
      <c r="A19" s="24">
        <v>42522</v>
      </c>
      <c r="B19" s="6">
        <v>1318.4</v>
      </c>
    </row>
    <row r="20" spans="1:2" x14ac:dyDescent="0.3">
      <c r="A20" s="24">
        <v>42552</v>
      </c>
      <c r="B20" s="6">
        <v>1349</v>
      </c>
    </row>
    <row r="21" spans="1:2" x14ac:dyDescent="0.3">
      <c r="A21" s="24">
        <v>42583</v>
      </c>
      <c r="B21" s="6">
        <v>1306.9000000000001</v>
      </c>
    </row>
    <row r="22" spans="1:2" x14ac:dyDescent="0.3">
      <c r="A22" s="24">
        <v>42614</v>
      </c>
      <c r="B22" s="6">
        <v>1313.3</v>
      </c>
    </row>
    <row r="23" spans="1:2" x14ac:dyDescent="0.3">
      <c r="A23" s="24">
        <v>42644</v>
      </c>
      <c r="B23" s="6">
        <v>1271.5</v>
      </c>
    </row>
    <row r="24" spans="1:2" x14ac:dyDescent="0.3">
      <c r="A24" s="24">
        <v>42675</v>
      </c>
      <c r="B24" s="6">
        <v>1170.8</v>
      </c>
    </row>
    <row r="25" spans="1:2" x14ac:dyDescent="0.3">
      <c r="A25" s="24">
        <v>42705</v>
      </c>
      <c r="B25" s="6">
        <v>1150</v>
      </c>
    </row>
    <row r="26" spans="1:2" x14ac:dyDescent="0.3">
      <c r="A26" s="24">
        <v>42736</v>
      </c>
      <c r="B26" s="6">
        <v>1208.5999999999999</v>
      </c>
    </row>
    <row r="27" spans="1:2" x14ac:dyDescent="0.3">
      <c r="A27" s="24">
        <v>42767</v>
      </c>
      <c r="B27" s="6">
        <v>1252.5999999999999</v>
      </c>
    </row>
    <row r="28" spans="1:2" x14ac:dyDescent="0.3">
      <c r="A28" s="24">
        <v>42795</v>
      </c>
      <c r="B28" s="6">
        <v>1247.3</v>
      </c>
    </row>
    <row r="29" spans="1:2" x14ac:dyDescent="0.3">
      <c r="A29" s="24">
        <v>42826</v>
      </c>
      <c r="B29" s="6">
        <v>1266.0999999999999</v>
      </c>
    </row>
    <row r="30" spans="1:2" x14ac:dyDescent="0.3">
      <c r="A30" s="24">
        <v>42856</v>
      </c>
      <c r="B30" s="6">
        <v>1272</v>
      </c>
    </row>
    <row r="31" spans="1:2" x14ac:dyDescent="0.3">
      <c r="A31" s="24">
        <v>42887</v>
      </c>
      <c r="B31" s="6">
        <v>1240.7</v>
      </c>
    </row>
    <row r="32" spans="1:2" x14ac:dyDescent="0.3">
      <c r="A32" s="24">
        <v>42917</v>
      </c>
      <c r="B32" s="6">
        <v>1266.5999999999999</v>
      </c>
    </row>
    <row r="33" spans="1:2" x14ac:dyDescent="0.3">
      <c r="A33" s="24">
        <v>42948</v>
      </c>
      <c r="B33" s="6">
        <v>1316.2</v>
      </c>
    </row>
    <row r="34" spans="1:2" x14ac:dyDescent="0.3">
      <c r="A34" s="24">
        <v>42979</v>
      </c>
      <c r="B34" s="6">
        <v>1281.5</v>
      </c>
    </row>
    <row r="35" spans="1:2" x14ac:dyDescent="0.3">
      <c r="A35" s="24">
        <v>43009</v>
      </c>
      <c r="B35" s="6">
        <v>1267</v>
      </c>
    </row>
    <row r="36" spans="1:2" x14ac:dyDescent="0.3">
      <c r="A36" s="24">
        <v>43040</v>
      </c>
      <c r="B36" s="6">
        <v>1273.2</v>
      </c>
    </row>
    <row r="37" spans="1:2" x14ac:dyDescent="0.3">
      <c r="A37" s="24">
        <v>43070</v>
      </c>
      <c r="B37" s="6">
        <v>1306.3</v>
      </c>
    </row>
    <row r="38" spans="1:2" x14ac:dyDescent="0.3">
      <c r="A38" s="24">
        <v>43101</v>
      </c>
      <c r="B38" s="6">
        <v>1339</v>
      </c>
    </row>
    <row r="39" spans="1:2" x14ac:dyDescent="0.3">
      <c r="A39" s="24">
        <v>43132</v>
      </c>
      <c r="B39" s="6">
        <v>1315.5</v>
      </c>
    </row>
    <row r="40" spans="1:2" x14ac:dyDescent="0.3">
      <c r="A40" s="24">
        <v>43160</v>
      </c>
      <c r="B40" s="6">
        <v>1322.8</v>
      </c>
    </row>
    <row r="41" spans="1:2" x14ac:dyDescent="0.3">
      <c r="A41" s="24">
        <v>43191</v>
      </c>
      <c r="B41" s="6">
        <v>1316.2</v>
      </c>
    </row>
    <row r="42" spans="1:2" x14ac:dyDescent="0.3">
      <c r="A42" s="24">
        <v>43221</v>
      </c>
      <c r="B42" s="6">
        <v>1300.0999999999999</v>
      </c>
    </row>
    <row r="43" spans="1:2" x14ac:dyDescent="0.3">
      <c r="A43" s="24">
        <v>43252</v>
      </c>
      <c r="B43" s="6">
        <v>1251.3</v>
      </c>
    </row>
    <row r="44" spans="1:2" x14ac:dyDescent="0.3">
      <c r="A44" s="24">
        <v>43282</v>
      </c>
      <c r="B44" s="6">
        <v>1223.7</v>
      </c>
    </row>
    <row r="45" spans="1:2" x14ac:dyDescent="0.3">
      <c r="A45" s="24">
        <v>43313</v>
      </c>
      <c r="B45" s="6">
        <v>1200.3</v>
      </c>
    </row>
    <row r="46" spans="1:2" x14ac:dyDescent="0.3">
      <c r="A46" s="24">
        <v>43344</v>
      </c>
      <c r="B46" s="6">
        <v>1191.5</v>
      </c>
    </row>
    <row r="47" spans="1:2" x14ac:dyDescent="0.3">
      <c r="A47" s="24">
        <v>43374</v>
      </c>
      <c r="B47" s="6">
        <v>1212.3</v>
      </c>
    </row>
    <row r="48" spans="1:2" x14ac:dyDescent="0.3">
      <c r="A48" s="24">
        <v>43405</v>
      </c>
      <c r="B48" s="6">
        <v>1220.2</v>
      </c>
    </row>
    <row r="49" spans="1:2" x14ac:dyDescent="0.3">
      <c r="A49" s="24">
        <v>43435</v>
      </c>
      <c r="B49" s="6">
        <v>1278.3</v>
      </c>
    </row>
    <row r="50" spans="1:2" x14ac:dyDescent="0.3">
      <c r="A50" s="24">
        <v>43466</v>
      </c>
      <c r="B50" s="6">
        <v>1319.7</v>
      </c>
    </row>
    <row r="51" spans="1:2" x14ac:dyDescent="0.3">
      <c r="A51" s="24">
        <v>43497</v>
      </c>
      <c r="B51" s="6">
        <v>1312.8</v>
      </c>
    </row>
    <row r="52" spans="1:2" x14ac:dyDescent="0.3">
      <c r="A52" s="24">
        <v>43525</v>
      </c>
      <c r="B52" s="6">
        <v>1293</v>
      </c>
    </row>
    <row r="53" spans="1:2" x14ac:dyDescent="0.3">
      <c r="A53" s="24">
        <v>43556</v>
      </c>
      <c r="B53" s="6">
        <v>1282.8</v>
      </c>
    </row>
    <row r="54" spans="1:2" x14ac:dyDescent="0.3">
      <c r="A54" s="24">
        <v>43586</v>
      </c>
      <c r="B54" s="6">
        <v>1305.8</v>
      </c>
    </row>
    <row r="55" spans="1:2" x14ac:dyDescent="0.3">
      <c r="A55" s="24">
        <v>43617</v>
      </c>
      <c r="B55" s="6">
        <v>1409.7</v>
      </c>
    </row>
    <row r="56" spans="1:2" x14ac:dyDescent="0.3">
      <c r="A56" s="24">
        <v>43647</v>
      </c>
      <c r="B56" s="6">
        <v>1426.1</v>
      </c>
    </row>
    <row r="57" spans="1:2" x14ac:dyDescent="0.3">
      <c r="A57" s="24">
        <v>43678</v>
      </c>
      <c r="B57" s="6">
        <v>1519.1</v>
      </c>
    </row>
    <row r="58" spans="1:2" x14ac:dyDescent="0.3">
      <c r="A58" s="24">
        <v>43709</v>
      </c>
      <c r="B58" s="6">
        <v>1465.7</v>
      </c>
    </row>
    <row r="59" spans="1:2" x14ac:dyDescent="0.3">
      <c r="A59" s="24">
        <v>43739</v>
      </c>
      <c r="B59" s="6">
        <v>1511.4</v>
      </c>
    </row>
    <row r="60" spans="1:2" x14ac:dyDescent="0.3">
      <c r="A60" s="24">
        <v>43770</v>
      </c>
      <c r="B60" s="6">
        <v>1465.6</v>
      </c>
    </row>
    <row r="61" spans="1:2" x14ac:dyDescent="0.3">
      <c r="A61" s="24">
        <v>43800</v>
      </c>
      <c r="B61" s="6">
        <v>1519.5</v>
      </c>
    </row>
    <row r="62" spans="1:2" x14ac:dyDescent="0.3">
      <c r="A62" s="24">
        <v>43831</v>
      </c>
      <c r="B62" s="6">
        <v>1587.9</v>
      </c>
    </row>
    <row r="63" spans="1:2" x14ac:dyDescent="0.3">
      <c r="A63" s="24">
        <v>43862</v>
      </c>
      <c r="B63" s="6">
        <v>1566.7</v>
      </c>
    </row>
    <row r="64" spans="1:2" x14ac:dyDescent="0.3">
      <c r="A64" s="24">
        <v>43891</v>
      </c>
      <c r="B64" s="6">
        <v>1592.1</v>
      </c>
    </row>
    <row r="65" spans="1:2" x14ac:dyDescent="0.3">
      <c r="A65" s="24">
        <v>43922</v>
      </c>
      <c r="B65" s="6">
        <v>1694.2</v>
      </c>
    </row>
    <row r="66" spans="1:2" x14ac:dyDescent="0.3">
      <c r="A66" s="24">
        <v>43952</v>
      </c>
      <c r="B66" s="6">
        <v>1751.7</v>
      </c>
    </row>
    <row r="67" spans="1:2" x14ac:dyDescent="0.3">
      <c r="A67" s="24">
        <v>43983</v>
      </c>
      <c r="B67" s="6">
        <v>1688.35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A3AC-9C79-4194-B9D4-7629F0D17AAC}">
  <dimension ref="A1:N22"/>
  <sheetViews>
    <sheetView workbookViewId="0">
      <selection activeCell="A8" sqref="A8"/>
    </sheetView>
  </sheetViews>
  <sheetFormatPr defaultRowHeight="14.4" x14ac:dyDescent="0.3"/>
  <cols>
    <col min="1" max="1" width="16" style="23" bestFit="1" customWidth="1"/>
  </cols>
  <sheetData>
    <row r="1" spans="1:14" x14ac:dyDescent="0.3">
      <c r="A1" s="23" t="s">
        <v>50</v>
      </c>
      <c r="B1" t="s">
        <v>48</v>
      </c>
      <c r="C1" t="s">
        <v>49</v>
      </c>
      <c r="D1" t="s">
        <v>51</v>
      </c>
    </row>
    <row r="2" spans="1:14" x14ac:dyDescent="0.3">
      <c r="A2" s="23">
        <v>42675</v>
      </c>
      <c r="B2" t="s">
        <v>14</v>
      </c>
      <c r="C2">
        <v>1400</v>
      </c>
      <c r="D2" t="s">
        <v>36</v>
      </c>
    </row>
    <row r="3" spans="1:14" x14ac:dyDescent="0.3">
      <c r="A3" s="23">
        <v>42795</v>
      </c>
      <c r="B3" t="s">
        <v>15</v>
      </c>
      <c r="C3">
        <v>1750</v>
      </c>
      <c r="D3" t="s">
        <v>34</v>
      </c>
    </row>
    <row r="4" spans="1:14" x14ac:dyDescent="0.3">
      <c r="A4" s="23">
        <v>42826</v>
      </c>
      <c r="B4" t="s">
        <v>20</v>
      </c>
      <c r="C4">
        <v>1470</v>
      </c>
      <c r="D4" t="s">
        <v>36</v>
      </c>
    </row>
    <row r="5" spans="1:14" x14ac:dyDescent="0.3">
      <c r="A5" s="23">
        <v>43009</v>
      </c>
      <c r="B5" t="s">
        <v>28</v>
      </c>
      <c r="C5">
        <v>1407</v>
      </c>
      <c r="D5" t="s">
        <v>35</v>
      </c>
    </row>
    <row r="6" spans="1:14" x14ac:dyDescent="0.3">
      <c r="A6" s="23">
        <v>43040</v>
      </c>
      <c r="B6" t="s">
        <v>13</v>
      </c>
      <c r="C6">
        <v>1050</v>
      </c>
      <c r="D6" t="s">
        <v>35</v>
      </c>
    </row>
    <row r="7" spans="1:14" x14ac:dyDescent="0.3">
      <c r="A7" s="23">
        <v>43040</v>
      </c>
      <c r="B7" t="s">
        <v>26</v>
      </c>
      <c r="C7">
        <v>1470</v>
      </c>
      <c r="D7" t="s">
        <v>36</v>
      </c>
    </row>
    <row r="8" spans="1:14" x14ac:dyDescent="0.3">
      <c r="A8" s="23">
        <v>43132</v>
      </c>
      <c r="B8" t="s">
        <v>24</v>
      </c>
      <c r="C8">
        <v>1610</v>
      </c>
      <c r="D8" t="s">
        <v>34</v>
      </c>
      <c r="J8" s="15"/>
      <c r="N8" s="15"/>
    </row>
    <row r="9" spans="1:14" x14ac:dyDescent="0.3">
      <c r="A9" s="23">
        <v>43160</v>
      </c>
      <c r="B9" t="s">
        <v>22</v>
      </c>
      <c r="C9">
        <v>1407</v>
      </c>
      <c r="D9" t="s">
        <v>35</v>
      </c>
      <c r="J9" s="15"/>
      <c r="N9" s="15"/>
    </row>
    <row r="10" spans="1:14" x14ac:dyDescent="0.3">
      <c r="A10" s="23">
        <v>43160</v>
      </c>
      <c r="B10" t="s">
        <v>29</v>
      </c>
      <c r="C10">
        <v>909.99999999999989</v>
      </c>
      <c r="D10" t="s">
        <v>36</v>
      </c>
      <c r="J10" s="15"/>
      <c r="N10" s="15"/>
    </row>
    <row r="11" spans="1:14" x14ac:dyDescent="0.3">
      <c r="A11" s="23">
        <v>43282</v>
      </c>
      <c r="B11" t="s">
        <v>19</v>
      </c>
      <c r="C11">
        <v>1400</v>
      </c>
      <c r="D11" t="s">
        <v>35</v>
      </c>
      <c r="J11" s="15"/>
      <c r="N11" s="15"/>
    </row>
    <row r="12" spans="1:14" x14ac:dyDescent="0.3">
      <c r="A12" s="23">
        <v>43282</v>
      </c>
      <c r="B12" t="s">
        <v>25</v>
      </c>
      <c r="C12">
        <v>1400</v>
      </c>
      <c r="D12" t="s">
        <v>35</v>
      </c>
      <c r="J12" s="15"/>
      <c r="N12" s="15"/>
    </row>
    <row r="13" spans="1:14" x14ac:dyDescent="0.3">
      <c r="A13" s="23">
        <v>43313</v>
      </c>
      <c r="B13" t="s">
        <v>17</v>
      </c>
      <c r="C13">
        <v>1190</v>
      </c>
      <c r="D13" t="s">
        <v>36</v>
      </c>
      <c r="J13" s="15"/>
      <c r="N13" s="15"/>
    </row>
    <row r="14" spans="1:14" x14ac:dyDescent="0.3">
      <c r="A14" s="23">
        <v>43405</v>
      </c>
      <c r="B14" t="s">
        <v>21</v>
      </c>
      <c r="C14">
        <v>1330</v>
      </c>
      <c r="D14" t="s">
        <v>34</v>
      </c>
      <c r="J14" s="15"/>
      <c r="N14" s="15"/>
    </row>
    <row r="15" spans="1:14" x14ac:dyDescent="0.3">
      <c r="A15" s="23">
        <v>43466</v>
      </c>
      <c r="B15" t="s">
        <v>27</v>
      </c>
      <c r="C15">
        <v>1330</v>
      </c>
      <c r="D15" t="s">
        <v>34</v>
      </c>
    </row>
    <row r="16" spans="1:14" x14ac:dyDescent="0.3">
      <c r="A16" s="23">
        <v>43497</v>
      </c>
      <c r="B16" t="s">
        <v>12</v>
      </c>
      <c r="C16">
        <v>1365</v>
      </c>
      <c r="D16" t="s">
        <v>34</v>
      </c>
    </row>
    <row r="17" spans="1:4" x14ac:dyDescent="0.3">
      <c r="A17" s="23">
        <v>43525</v>
      </c>
      <c r="B17" t="s">
        <v>10</v>
      </c>
      <c r="C17">
        <v>1260</v>
      </c>
      <c r="D17" t="s">
        <v>35</v>
      </c>
    </row>
    <row r="18" spans="1:4" x14ac:dyDescent="0.3">
      <c r="A18" s="23">
        <v>43556</v>
      </c>
      <c r="B18" t="s">
        <v>16</v>
      </c>
      <c r="C18">
        <v>1330</v>
      </c>
      <c r="D18" t="s">
        <v>35</v>
      </c>
    </row>
    <row r="19" spans="1:4" x14ac:dyDescent="0.3">
      <c r="A19" s="23">
        <v>43586</v>
      </c>
      <c r="B19" t="s">
        <v>23</v>
      </c>
      <c r="C19">
        <v>1190</v>
      </c>
      <c r="D19" t="s">
        <v>36</v>
      </c>
    </row>
    <row r="20" spans="1:4" x14ac:dyDescent="0.3">
      <c r="A20" s="23">
        <v>43739</v>
      </c>
      <c r="B20" t="s">
        <v>18</v>
      </c>
      <c r="C20">
        <v>1610</v>
      </c>
      <c r="D20" t="s">
        <v>34</v>
      </c>
    </row>
    <row r="21" spans="1:4" x14ac:dyDescent="0.3">
      <c r="A21" s="23">
        <v>43770</v>
      </c>
      <c r="B21" t="s">
        <v>9</v>
      </c>
      <c r="C21">
        <v>1050</v>
      </c>
      <c r="D21" t="s">
        <v>34</v>
      </c>
    </row>
    <row r="22" spans="1:4" x14ac:dyDescent="0.3">
      <c r="A22" s="23">
        <v>43952</v>
      </c>
      <c r="B22" t="s">
        <v>11</v>
      </c>
      <c r="C22">
        <v>1470</v>
      </c>
      <c r="D22" t="s">
        <v>36</v>
      </c>
    </row>
  </sheetData>
  <sortState xmlns:xlrd2="http://schemas.microsoft.com/office/spreadsheetml/2017/richdata2" ref="A2:D22">
    <sortCondition ref="A1:A22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Metal Historical Data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janelle smith</dc:creator>
  <cp:lastModifiedBy>Harison Sharp</cp:lastModifiedBy>
  <cp:lastPrinted>2020-06-05T19:50:40Z</cp:lastPrinted>
  <dcterms:created xsi:type="dcterms:W3CDTF">2020-06-05T19:38:59Z</dcterms:created>
  <dcterms:modified xsi:type="dcterms:W3CDTF">2026-01-06T21:31:17Z</dcterms:modified>
</cp:coreProperties>
</file>