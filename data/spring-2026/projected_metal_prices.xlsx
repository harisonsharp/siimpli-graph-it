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Work\Siim2025\siimpli-graph-it-copy\data\kutcho_metal\"/>
    </mc:Choice>
  </mc:AlternateContent>
  <xr:revisionPtr revIDLastSave="0" documentId="8_{107D44CA-7FC0-4467-9473-0D5F0DB8C22B}" xr6:coauthVersionLast="47" xr6:coauthVersionMax="47" xr10:uidLastSave="{00000000-0000-0000-0000-000000000000}"/>
  <bookViews>
    <workbookView xWindow="3120" yWindow="3120" windowWidth="38700" windowHeight="15825" activeTab="9" xr2:uid="{EC88E300-9E7F-4876-9F75-4E58A563EBF6}"/>
  </bookViews>
  <sheets>
    <sheet name="Copper" sheetId="1" r:id="rId1"/>
    <sheet name="Zinc" sheetId="2" r:id="rId2"/>
    <sheet name="Lead" sheetId="3" r:id="rId3"/>
    <sheet name="Gold" sheetId="4" r:id="rId4"/>
    <sheet name="Silver" sheetId="5" r:id="rId5"/>
    <sheet name="Ag Forecast" sheetId="6" r:id="rId6"/>
    <sheet name="Au Forecast" sheetId="7" r:id="rId7"/>
    <sheet name="Pb Forecast" sheetId="8" r:id="rId8"/>
    <sheet name="Zn Forecast" sheetId="9" r:id="rId9"/>
    <sheet name="Cu Forecast" sheetId="10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  <c r="M8" i="1"/>
  <c r="L8" i="1"/>
  <c r="M7" i="1"/>
  <c r="M10" i="1" s="1"/>
  <c r="L7" i="1"/>
  <c r="L10" i="1" s="1"/>
  <c r="M8" i="2"/>
  <c r="L8" i="2"/>
  <c r="M7" i="2"/>
  <c r="M9" i="2" s="1"/>
  <c r="L7" i="2"/>
  <c r="L10" i="2" s="1"/>
  <c r="M8" i="3"/>
  <c r="L8" i="3"/>
  <c r="M7" i="3"/>
  <c r="M10" i="3" s="1"/>
  <c r="L10" i="3"/>
  <c r="M8" i="4"/>
  <c r="L8" i="4"/>
  <c r="M7" i="4"/>
  <c r="M10" i="4" s="1"/>
  <c r="L7" i="4"/>
  <c r="L10" i="4" s="1"/>
  <c r="W10" i="1"/>
  <c r="W8" i="1"/>
  <c r="W9" i="1" s="1"/>
  <c r="V8" i="1"/>
  <c r="V9" i="1" s="1"/>
  <c r="U8" i="1"/>
  <c r="U9" i="1" s="1"/>
  <c r="T8" i="1"/>
  <c r="T9" i="1" s="1"/>
  <c r="W7" i="1"/>
  <c r="V7" i="1"/>
  <c r="V10" i="1" s="1"/>
  <c r="U7" i="1"/>
  <c r="U10" i="1" s="1"/>
  <c r="T7" i="1"/>
  <c r="T10" i="1" s="1"/>
  <c r="W10" i="2"/>
  <c r="W8" i="2"/>
  <c r="W9" i="2" s="1"/>
  <c r="V8" i="2"/>
  <c r="V9" i="2" s="1"/>
  <c r="U8" i="2"/>
  <c r="U9" i="2" s="1"/>
  <c r="T8" i="2"/>
  <c r="T9" i="2" s="1"/>
  <c r="W7" i="2"/>
  <c r="V7" i="2"/>
  <c r="V10" i="2" s="1"/>
  <c r="U7" i="2"/>
  <c r="U10" i="2" s="1"/>
  <c r="T7" i="2"/>
  <c r="T10" i="2" s="1"/>
  <c r="W8" i="3"/>
  <c r="W9" i="3" s="1"/>
  <c r="V8" i="3"/>
  <c r="V9" i="3" s="1"/>
  <c r="U8" i="3"/>
  <c r="U9" i="3" s="1"/>
  <c r="T8" i="3"/>
  <c r="T9" i="3" s="1"/>
  <c r="W7" i="3"/>
  <c r="W10" i="3" s="1"/>
  <c r="V7" i="3"/>
  <c r="V10" i="3" s="1"/>
  <c r="U7" i="3"/>
  <c r="U10" i="3" s="1"/>
  <c r="T7" i="3"/>
  <c r="T10" i="3" s="1"/>
  <c r="W8" i="4"/>
  <c r="W9" i="4" s="1"/>
  <c r="V8" i="4"/>
  <c r="V9" i="4" s="1"/>
  <c r="U8" i="4"/>
  <c r="U9" i="4" s="1"/>
  <c r="T8" i="4"/>
  <c r="T10" i="4" s="1"/>
  <c r="W7" i="4"/>
  <c r="W10" i="4" s="1"/>
  <c r="V7" i="4"/>
  <c r="V10" i="4" s="1"/>
  <c r="U7" i="4"/>
  <c r="T7" i="4"/>
  <c r="U9" i="5"/>
  <c r="V9" i="5"/>
  <c r="W9" i="5"/>
  <c r="U10" i="5"/>
  <c r="V10" i="5"/>
  <c r="W10" i="5"/>
  <c r="W8" i="5"/>
  <c r="V8" i="5"/>
  <c r="U8" i="5"/>
  <c r="W7" i="5"/>
  <c r="V7" i="5"/>
  <c r="U7" i="5"/>
  <c r="T7" i="5"/>
  <c r="T10" i="5" s="1"/>
  <c r="T8" i="5"/>
  <c r="T9" i="5" s="1"/>
  <c r="O7" i="5"/>
  <c r="M10" i="5"/>
  <c r="L10" i="5"/>
  <c r="M9" i="5"/>
  <c r="L9" i="5"/>
  <c r="M8" i="5"/>
  <c r="L8" i="5"/>
  <c r="M7" i="5"/>
  <c r="L7" i="5"/>
  <c r="S12" i="5"/>
  <c r="R12" i="5"/>
  <c r="Q12" i="5"/>
  <c r="P12" i="5"/>
  <c r="O12" i="5"/>
  <c r="K12" i="5"/>
  <c r="J12" i="5"/>
  <c r="I12" i="5"/>
  <c r="H12" i="5"/>
  <c r="F12" i="5"/>
  <c r="E12" i="5"/>
  <c r="D12" i="5"/>
  <c r="C12" i="5"/>
  <c r="S11" i="5"/>
  <c r="R11" i="5"/>
  <c r="Q11" i="5"/>
  <c r="P11" i="5"/>
  <c r="O11" i="5"/>
  <c r="K11" i="5"/>
  <c r="J11" i="5"/>
  <c r="I11" i="5"/>
  <c r="H11" i="5"/>
  <c r="F11" i="5"/>
  <c r="E11" i="5"/>
  <c r="D11" i="5"/>
  <c r="C11" i="5"/>
  <c r="S10" i="5"/>
  <c r="R10" i="5"/>
  <c r="Q10" i="5"/>
  <c r="P10" i="5"/>
  <c r="O10" i="5"/>
  <c r="K10" i="5"/>
  <c r="J10" i="5"/>
  <c r="I10" i="5"/>
  <c r="H10" i="5"/>
  <c r="F10" i="5"/>
  <c r="E10" i="5"/>
  <c r="D10" i="5"/>
  <c r="C10" i="5"/>
  <c r="S9" i="5"/>
  <c r="R9" i="5"/>
  <c r="Q9" i="5"/>
  <c r="P9" i="5"/>
  <c r="O9" i="5"/>
  <c r="K9" i="5"/>
  <c r="J9" i="5"/>
  <c r="I9" i="5"/>
  <c r="H9" i="5"/>
  <c r="F9" i="5"/>
  <c r="E9" i="5"/>
  <c r="D9" i="5"/>
  <c r="C9" i="5"/>
  <c r="S7" i="5"/>
  <c r="R7" i="5"/>
  <c r="Q7" i="5"/>
  <c r="P7" i="5"/>
  <c r="K7" i="5"/>
  <c r="J7" i="5"/>
  <c r="I7" i="5"/>
  <c r="H7" i="5"/>
  <c r="G7" i="5"/>
  <c r="F7" i="5"/>
  <c r="E7" i="5"/>
  <c r="D7" i="5"/>
  <c r="C7" i="5"/>
  <c r="A6" i="5"/>
  <c r="S5" i="5"/>
  <c r="R5" i="5"/>
  <c r="Q5" i="5"/>
  <c r="P5" i="5"/>
  <c r="O5" i="5"/>
  <c r="K5" i="5"/>
  <c r="J5" i="5"/>
  <c r="I5" i="5"/>
  <c r="H5" i="5"/>
  <c r="G5" i="5"/>
  <c r="F5" i="5"/>
  <c r="E5" i="5"/>
  <c r="D5" i="5"/>
  <c r="C5" i="5"/>
  <c r="B5" i="5"/>
  <c r="G4" i="5"/>
  <c r="B4" i="5"/>
  <c r="A4" i="5"/>
  <c r="S12" i="4"/>
  <c r="R12" i="4"/>
  <c r="Q12" i="4"/>
  <c r="P12" i="4"/>
  <c r="O12" i="4"/>
  <c r="K12" i="4"/>
  <c r="J12" i="4"/>
  <c r="I12" i="4"/>
  <c r="H12" i="4"/>
  <c r="F12" i="4"/>
  <c r="E12" i="4"/>
  <c r="D12" i="4"/>
  <c r="C12" i="4"/>
  <c r="S11" i="4"/>
  <c r="R11" i="4"/>
  <c r="Q11" i="4"/>
  <c r="P11" i="4"/>
  <c r="O11" i="4"/>
  <c r="K11" i="4"/>
  <c r="J11" i="4"/>
  <c r="I11" i="4"/>
  <c r="H11" i="4"/>
  <c r="F11" i="4"/>
  <c r="E11" i="4"/>
  <c r="D11" i="4"/>
  <c r="C11" i="4"/>
  <c r="S10" i="4"/>
  <c r="R10" i="4"/>
  <c r="Q10" i="4"/>
  <c r="P10" i="4"/>
  <c r="O10" i="4"/>
  <c r="K10" i="4"/>
  <c r="J10" i="4"/>
  <c r="I10" i="4"/>
  <c r="H10" i="4"/>
  <c r="F10" i="4"/>
  <c r="E10" i="4"/>
  <c r="D10" i="4"/>
  <c r="C10" i="4"/>
  <c r="S9" i="4"/>
  <c r="R9" i="4"/>
  <c r="Q9" i="4"/>
  <c r="P9" i="4"/>
  <c r="O9" i="4"/>
  <c r="K9" i="4"/>
  <c r="J9" i="4"/>
  <c r="I9" i="4"/>
  <c r="H9" i="4"/>
  <c r="F9" i="4"/>
  <c r="E9" i="4"/>
  <c r="D9" i="4"/>
  <c r="C9" i="4"/>
  <c r="S7" i="4"/>
  <c r="R7" i="4"/>
  <c r="Q7" i="4"/>
  <c r="P7" i="4"/>
  <c r="O7" i="4"/>
  <c r="K7" i="4"/>
  <c r="J7" i="4"/>
  <c r="I7" i="4"/>
  <c r="H7" i="4"/>
  <c r="G7" i="4"/>
  <c r="F7" i="4"/>
  <c r="E7" i="4"/>
  <c r="D7" i="4"/>
  <c r="C7" i="4"/>
  <c r="A6" i="4"/>
  <c r="S5" i="4"/>
  <c r="R5" i="4"/>
  <c r="Q5" i="4"/>
  <c r="P5" i="4"/>
  <c r="O5" i="4"/>
  <c r="K5" i="4"/>
  <c r="J5" i="4"/>
  <c r="I5" i="4"/>
  <c r="H5" i="4"/>
  <c r="G5" i="4"/>
  <c r="F5" i="4"/>
  <c r="E5" i="4"/>
  <c r="D5" i="4"/>
  <c r="C5" i="4"/>
  <c r="B5" i="4"/>
  <c r="G4" i="4"/>
  <c r="B4" i="4"/>
  <c r="A4" i="4"/>
  <c r="S12" i="3"/>
  <c r="R12" i="3"/>
  <c r="Q12" i="3"/>
  <c r="P12" i="3"/>
  <c r="O12" i="3"/>
  <c r="K12" i="3"/>
  <c r="J12" i="3"/>
  <c r="I12" i="3"/>
  <c r="H12" i="3"/>
  <c r="F12" i="3"/>
  <c r="E12" i="3"/>
  <c r="D12" i="3"/>
  <c r="C12" i="3"/>
  <c r="S11" i="3"/>
  <c r="R11" i="3"/>
  <c r="Q11" i="3"/>
  <c r="P11" i="3"/>
  <c r="O11" i="3"/>
  <c r="K11" i="3"/>
  <c r="J11" i="3"/>
  <c r="I11" i="3"/>
  <c r="H11" i="3"/>
  <c r="F11" i="3"/>
  <c r="E11" i="3"/>
  <c r="D11" i="3"/>
  <c r="C11" i="3"/>
  <c r="S10" i="3"/>
  <c r="R10" i="3"/>
  <c r="Q10" i="3"/>
  <c r="P10" i="3"/>
  <c r="O10" i="3"/>
  <c r="K10" i="3"/>
  <c r="J10" i="3"/>
  <c r="I10" i="3"/>
  <c r="H10" i="3"/>
  <c r="F10" i="3"/>
  <c r="E10" i="3"/>
  <c r="D10" i="3"/>
  <c r="C10" i="3"/>
  <c r="S9" i="3"/>
  <c r="R9" i="3"/>
  <c r="Q9" i="3"/>
  <c r="P9" i="3"/>
  <c r="O9" i="3"/>
  <c r="K9" i="3"/>
  <c r="J9" i="3"/>
  <c r="I9" i="3"/>
  <c r="H9" i="3"/>
  <c r="F9" i="3"/>
  <c r="E9" i="3"/>
  <c r="D9" i="3"/>
  <c r="C9" i="3"/>
  <c r="S7" i="3"/>
  <c r="R7" i="3"/>
  <c r="Q7" i="3"/>
  <c r="P7" i="3"/>
  <c r="O7" i="3"/>
  <c r="K7" i="3"/>
  <c r="J7" i="3"/>
  <c r="I7" i="3"/>
  <c r="H7" i="3"/>
  <c r="G7" i="3"/>
  <c r="F7" i="3"/>
  <c r="E7" i="3"/>
  <c r="D7" i="3"/>
  <c r="C7" i="3"/>
  <c r="A6" i="3"/>
  <c r="S5" i="3"/>
  <c r="R5" i="3"/>
  <c r="Q5" i="3"/>
  <c r="P5" i="3"/>
  <c r="O5" i="3"/>
  <c r="K5" i="3"/>
  <c r="J5" i="3"/>
  <c r="I5" i="3"/>
  <c r="H5" i="3"/>
  <c r="G5" i="3"/>
  <c r="F5" i="3"/>
  <c r="E5" i="3"/>
  <c r="D5" i="3"/>
  <c r="C5" i="3"/>
  <c r="G4" i="3"/>
  <c r="A4" i="3"/>
  <c r="S12" i="2"/>
  <c r="R12" i="2"/>
  <c r="Q12" i="2"/>
  <c r="P12" i="2"/>
  <c r="O12" i="2"/>
  <c r="K12" i="2"/>
  <c r="J12" i="2"/>
  <c r="I12" i="2"/>
  <c r="H12" i="2"/>
  <c r="F12" i="2"/>
  <c r="E12" i="2"/>
  <c r="D12" i="2"/>
  <c r="C12" i="2"/>
  <c r="S11" i="2"/>
  <c r="R11" i="2"/>
  <c r="Q11" i="2"/>
  <c r="P11" i="2"/>
  <c r="O11" i="2"/>
  <c r="K11" i="2"/>
  <c r="J11" i="2"/>
  <c r="I11" i="2"/>
  <c r="H11" i="2"/>
  <c r="F11" i="2"/>
  <c r="E11" i="2"/>
  <c r="D11" i="2"/>
  <c r="C11" i="2"/>
  <c r="S10" i="2"/>
  <c r="R10" i="2"/>
  <c r="Q10" i="2"/>
  <c r="P10" i="2"/>
  <c r="O10" i="2"/>
  <c r="K10" i="2"/>
  <c r="J10" i="2"/>
  <c r="I10" i="2"/>
  <c r="H10" i="2"/>
  <c r="F10" i="2"/>
  <c r="E10" i="2"/>
  <c r="D10" i="2"/>
  <c r="C10" i="2"/>
  <c r="S9" i="2"/>
  <c r="R9" i="2"/>
  <c r="Q9" i="2"/>
  <c r="P9" i="2"/>
  <c r="O9" i="2"/>
  <c r="K9" i="2"/>
  <c r="J9" i="2"/>
  <c r="I9" i="2"/>
  <c r="H9" i="2"/>
  <c r="F9" i="2"/>
  <c r="E9" i="2"/>
  <c r="D9" i="2"/>
  <c r="C9" i="2"/>
  <c r="S7" i="2"/>
  <c r="R7" i="2"/>
  <c r="Q7" i="2"/>
  <c r="P7" i="2"/>
  <c r="O7" i="2"/>
  <c r="K7" i="2"/>
  <c r="J7" i="2"/>
  <c r="I7" i="2"/>
  <c r="H7" i="2"/>
  <c r="G7" i="2"/>
  <c r="F7" i="2"/>
  <c r="E7" i="2"/>
  <c r="D7" i="2"/>
  <c r="C7" i="2"/>
  <c r="A6" i="2"/>
  <c r="S5" i="2"/>
  <c r="R5" i="2"/>
  <c r="Q5" i="2"/>
  <c r="P5" i="2"/>
  <c r="O5" i="2"/>
  <c r="K5" i="2"/>
  <c r="J5" i="2"/>
  <c r="I5" i="2"/>
  <c r="H5" i="2"/>
  <c r="G5" i="2"/>
  <c r="F5" i="2"/>
  <c r="E5" i="2"/>
  <c r="D5" i="2"/>
  <c r="C5" i="2"/>
  <c r="G4" i="2"/>
  <c r="A4" i="2"/>
  <c r="S12" i="1"/>
  <c r="R12" i="1"/>
  <c r="Q12" i="1"/>
  <c r="P12" i="1"/>
  <c r="O12" i="1"/>
  <c r="K12" i="1"/>
  <c r="J12" i="1"/>
  <c r="I12" i="1"/>
  <c r="H12" i="1"/>
  <c r="F12" i="1"/>
  <c r="E12" i="1"/>
  <c r="D12" i="1"/>
  <c r="C12" i="1"/>
  <c r="S11" i="1"/>
  <c r="R11" i="1"/>
  <c r="Q11" i="1"/>
  <c r="P11" i="1"/>
  <c r="O11" i="1"/>
  <c r="K11" i="1"/>
  <c r="J11" i="1"/>
  <c r="I11" i="1"/>
  <c r="H11" i="1"/>
  <c r="F11" i="1"/>
  <c r="E11" i="1"/>
  <c r="D11" i="1"/>
  <c r="C11" i="1"/>
  <c r="S10" i="1"/>
  <c r="R10" i="1"/>
  <c r="Q10" i="1"/>
  <c r="P10" i="1"/>
  <c r="O10" i="1"/>
  <c r="K10" i="1"/>
  <c r="J10" i="1"/>
  <c r="I10" i="1"/>
  <c r="H10" i="1"/>
  <c r="F10" i="1"/>
  <c r="E10" i="1"/>
  <c r="D10" i="1"/>
  <c r="C10" i="1"/>
  <c r="S9" i="1"/>
  <c r="R9" i="1"/>
  <c r="Q9" i="1"/>
  <c r="P9" i="1"/>
  <c r="O9" i="1"/>
  <c r="K9" i="1"/>
  <c r="J9" i="1"/>
  <c r="I9" i="1"/>
  <c r="H9" i="1"/>
  <c r="F9" i="1"/>
  <c r="E9" i="1"/>
  <c r="D9" i="1"/>
  <c r="C9" i="1"/>
  <c r="S7" i="1"/>
  <c r="R7" i="1"/>
  <c r="Q7" i="1"/>
  <c r="P7" i="1"/>
  <c r="O7" i="1"/>
  <c r="K7" i="1"/>
  <c r="J7" i="1"/>
  <c r="I7" i="1"/>
  <c r="H7" i="1"/>
  <c r="G7" i="1"/>
  <c r="F7" i="1"/>
  <c r="E7" i="1"/>
  <c r="D7" i="1"/>
  <c r="C7" i="1"/>
  <c r="A6" i="1"/>
  <c r="S5" i="1"/>
  <c r="R5" i="1"/>
  <c r="Q5" i="1"/>
  <c r="P5" i="1"/>
  <c r="O5" i="1"/>
  <c r="K5" i="1"/>
  <c r="J5" i="1"/>
  <c r="I5" i="1"/>
  <c r="H5" i="1"/>
  <c r="G5" i="1"/>
  <c r="F5" i="1"/>
  <c r="E5" i="1"/>
  <c r="D5" i="1"/>
  <c r="C5" i="1"/>
  <c r="G4" i="1"/>
  <c r="A4" i="1"/>
  <c r="L9" i="1" l="1"/>
  <c r="M9" i="1"/>
  <c r="M10" i="2"/>
  <c r="L9" i="2"/>
  <c r="L9" i="3"/>
  <c r="M9" i="3"/>
  <c r="L9" i="4"/>
  <c r="M9" i="4"/>
  <c r="U10" i="4"/>
  <c r="T9" i="4"/>
</calcChain>
</file>

<file path=xl/sharedStrings.xml><?xml version="1.0" encoding="utf-8"?>
<sst xmlns="http://schemas.openxmlformats.org/spreadsheetml/2006/main" count="369" uniqueCount="73">
  <si>
    <t>Copper (US$/tonne)</t>
  </si>
  <si>
    <t>© Copyright Consensus Economics Inc.</t>
  </si>
  <si>
    <t>Nominal Quarterly Averages</t>
  </si>
  <si>
    <t>Survey Date:</t>
  </si>
  <si>
    <t xml:space="preserve">Spot Price </t>
  </si>
  <si>
    <t>Long Term</t>
  </si>
  <si>
    <t>Release Date:</t>
  </si>
  <si>
    <t>on Survey Date</t>
  </si>
  <si>
    <t>(nominal)</t>
  </si>
  <si>
    <t>(real)</t>
  </si>
  <si>
    <t>Consensus (Mean)</t>
  </si>
  <si>
    <t>High</t>
  </si>
  <si>
    <t>Low</t>
  </si>
  <si>
    <t>Standard Deviation</t>
  </si>
  <si>
    <t>Number of Forecasts</t>
  </si>
  <si>
    <t>Citigroup</t>
  </si>
  <si>
    <t>na</t>
  </si>
  <si>
    <t>BoA Securities</t>
  </si>
  <si>
    <t>UBS</t>
  </si>
  <si>
    <t>Commerzbank</t>
  </si>
  <si>
    <t>JP Morgan</t>
  </si>
  <si>
    <t>4intelligence</t>
  </si>
  <si>
    <t>WestPac</t>
  </si>
  <si>
    <t>Pezco Economics</t>
  </si>
  <si>
    <t>Morgan Stanley</t>
  </si>
  <si>
    <t>ANZ</t>
  </si>
  <si>
    <t>BMO</t>
  </si>
  <si>
    <t>Goldman Sachs</t>
  </si>
  <si>
    <t>Swift Economics</t>
  </si>
  <si>
    <t>Investec</t>
  </si>
  <si>
    <t>ING Bank</t>
  </si>
  <si>
    <t>Australia Dept of Industry</t>
  </si>
  <si>
    <t>Oxford Economics</t>
  </si>
  <si>
    <t>Capital Economics</t>
  </si>
  <si>
    <t>Prometeia</t>
  </si>
  <si>
    <t>Econ Intelligence Unit</t>
  </si>
  <si>
    <t>Macquarie</t>
  </si>
  <si>
    <t>S&amp;P Global Mkt Intel</t>
  </si>
  <si>
    <t>Moody's Analytics</t>
  </si>
  <si>
    <t>TD Securities</t>
  </si>
  <si>
    <t>ISGR</t>
  </si>
  <si>
    <t>Deutsche Bank</t>
  </si>
  <si>
    <t>Euromonitor International</t>
  </si>
  <si>
    <t>RBC Capital Markets</t>
  </si>
  <si>
    <t>Panmure Liberum</t>
  </si>
  <si>
    <t>Zinc (US$/tonne)</t>
  </si>
  <si>
    <t>BDO Advisory</t>
  </si>
  <si>
    <t>Lead (US$/tonne)</t>
  </si>
  <si>
    <t>E2 Economia</t>
  </si>
  <si>
    <t>Gold (US$/troy oz)</t>
  </si>
  <si>
    <t>OCBC</t>
  </si>
  <si>
    <t>Silver (US$/troy oz)</t>
  </si>
  <si>
    <t>Year</t>
  </si>
  <si>
    <t>Silver Forecast Price</t>
  </si>
  <si>
    <t>Silver Stdv</t>
  </si>
  <si>
    <t>Silver Forecast Price + 1 stdv.</t>
  </si>
  <si>
    <t>Silver Forecast Price - 1 stdv.</t>
  </si>
  <si>
    <t>Gold  Forecast Price</t>
  </si>
  <si>
    <t>Gold Stdv</t>
  </si>
  <si>
    <t>Gold Forecast Price (+ 1 stdv.)</t>
  </si>
  <si>
    <t>Gold Forecast Price (- 1 stdv.)</t>
  </si>
  <si>
    <t>Lead Forecast Price</t>
  </si>
  <si>
    <t>Lead Stdv</t>
  </si>
  <si>
    <t>Lead Forecast Price (+ 1 stdv.)</t>
  </si>
  <si>
    <t>Lead Forecast Price (- 1 stdv.)</t>
  </si>
  <si>
    <t>Zinc Forecast Price</t>
  </si>
  <si>
    <t>Zinc Stdv</t>
  </si>
  <si>
    <t>Zinc Forecast Price (+ 1 stdv.)</t>
  </si>
  <si>
    <t>Zinc Forecast Price (- 1 stdv.)</t>
  </si>
  <si>
    <t>Copper Forecast Price</t>
  </si>
  <si>
    <t>Copper Stdv</t>
  </si>
  <si>
    <t>Copper Forecast Price (+ 1 stdv.)</t>
  </si>
  <si>
    <t>Copper Forecast Price (- 1 stdv.)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</si>
</sst>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409]mmmm\ d\,\ yyyy;@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12"/>
      <name val="Helvetica"/>
      <family val="2"/>
    </font>
    <font>
      <b/>
      <sz val="14"/>
      <name val="Helvetica"/>
      <family val="2"/>
    </font>
    <font>
      <sz val="10"/>
      <name val="Helvetica"/>
      <family val="2"/>
    </font>
    <font>
      <i/>
      <sz val="10"/>
      <color indexed="20"/>
      <name val="Helvetica"/>
      <family val="2"/>
    </font>
    <font>
      <b/>
      <sz val="10"/>
      <name val="Helvetica"/>
      <family val="2"/>
    </font>
    <font>
      <b/>
      <i/>
      <sz val="10"/>
      <color indexed="20"/>
      <name val="Helvetica"/>
      <family val="2"/>
    </font>
    <font>
      <b/>
      <sz val="10"/>
      <name val="Helvetica"/>
    </font>
    <font>
      <i/>
      <sz val="1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7" fontId="7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8" fillId="0" borderId="0" xfId="0" applyFont="1"/>
    <xf numFmtId="17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1" fontId="9" fillId="0" borderId="0" xfId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/>
    <xf numFmtId="1" fontId="4" fillId="0" borderId="0" xfId="0" applyNumberFormat="1" applyFont="1"/>
    <xf numFmtId="166" fontId="2" fillId="0" borderId="0" xfId="0" applyNumberFormat="1" applyFont="1" applyAlignment="1">
      <alignment horizontal="center"/>
    </xf>
    <xf numFmtId="166" fontId="4" fillId="0" borderId="0" xfId="0" applyNumberFormat="1" applyFont="1"/>
    <xf numFmtId="1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is\Downloads\EMDec2025.xlsx" TargetMode="External"/><Relationship Id="rId1" Type="http://schemas.openxmlformats.org/officeDocument/2006/relationships/externalLinkPath" Target="/Users/haris/Downloads/EMDec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ude Oil"/>
      <sheetName val="Crude Oil - Brent"/>
      <sheetName val="RBOB Gas"/>
      <sheetName val="Gas Oil"/>
      <sheetName val="Nat Gas - US"/>
      <sheetName val="Nat Gas - EU"/>
      <sheetName val="Nat Gas - UK"/>
      <sheetName val="Nat Gas - LNG"/>
      <sheetName val="Coal - Coking"/>
      <sheetName val="Coal - Steaming"/>
      <sheetName val="Coal - Steaming Spot"/>
      <sheetName val="Uranium"/>
      <sheetName val="Carbon"/>
      <sheetName val="Aluminium"/>
      <sheetName val="Alumina"/>
      <sheetName val="Copper"/>
      <sheetName val="Nickel"/>
      <sheetName val="Lead"/>
      <sheetName val="Zinc"/>
      <sheetName val="Tin"/>
      <sheetName val="Cobalt"/>
      <sheetName val="Lithium Carbonate"/>
      <sheetName val="Lithium Spodumene"/>
      <sheetName val="Lithium Hydroxide"/>
      <sheetName val="Manganese"/>
      <sheetName val="Rutile"/>
      <sheetName val="Molybdenum"/>
      <sheetName val="Ilmenite"/>
      <sheetName val="Zircon"/>
      <sheetName val="Steel - Eur"/>
      <sheetName val="Steel - USA"/>
      <sheetName val="Steel - Asia"/>
      <sheetName val="Iron Ore (Fine) - Aust"/>
      <sheetName val="Iron Ore (Fine) - China"/>
      <sheetName val="Iron Ore (Fine) - Brz"/>
      <sheetName val="Iron Ore (Lump) - Aust"/>
      <sheetName val="Gold"/>
      <sheetName val="Silver"/>
      <sheetName val="Platinum"/>
      <sheetName val="Palladium"/>
      <sheetName val="Wheat"/>
      <sheetName val="Corn"/>
      <sheetName val="Soybean"/>
      <sheetName val="Sugar"/>
      <sheetName val="Cocoa"/>
      <sheetName val="Coffee"/>
      <sheetName val="Cotton"/>
      <sheetName val="Palm Oil"/>
      <sheetName val="Copyright &amp; Disclaimer"/>
    </sheetNames>
    <sheetDataSet>
      <sheetData sheetId="0">
        <row r="4">
          <cell r="A4">
            <v>46006</v>
          </cell>
          <cell r="B4" t="str">
            <v xml:space="preserve">Spot Price </v>
          </cell>
          <cell r="G4" t="str">
            <v>% change</v>
          </cell>
        </row>
        <row r="5">
          <cell r="B5" t="str">
            <v>on Survey Date</v>
          </cell>
          <cell r="C5">
            <v>46082</v>
          </cell>
          <cell r="D5">
            <v>46177</v>
          </cell>
          <cell r="E5">
            <v>46272</v>
          </cell>
          <cell r="F5">
            <v>46367</v>
          </cell>
          <cell r="G5" t="str">
            <v>from spot</v>
          </cell>
          <cell r="H5">
            <v>46462</v>
          </cell>
          <cell r="I5">
            <v>46557</v>
          </cell>
          <cell r="J5">
            <v>46652</v>
          </cell>
          <cell r="K5">
            <v>46747</v>
          </cell>
          <cell r="O5">
            <v>2028</v>
          </cell>
          <cell r="P5">
            <v>2029</v>
          </cell>
          <cell r="Q5">
            <v>2030</v>
          </cell>
          <cell r="R5" t="str">
            <v>2031-2035</v>
          </cell>
          <cell r="S5" t="str">
            <v>2031-2035</v>
          </cell>
        </row>
        <row r="6">
          <cell r="A6">
            <v>46010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72A5-795A-460F-9B11-CA5D8A1C50B2}">
  <dimension ref="A1:W100"/>
  <sheetViews>
    <sheetView workbookViewId="0">
      <selection activeCell="T7" sqref="T7:W10"/>
    </sheetView>
  </sheetViews>
  <sheetFormatPr defaultRowHeight="15" x14ac:dyDescent="0.25"/>
  <cols>
    <col min="1" max="1" width="25.28515625" customWidth="1"/>
    <col min="2" max="2" width="15.85546875" customWidth="1"/>
    <col min="3" max="3" width="9.7109375" bestFit="1" customWidth="1"/>
    <col min="4" max="4" width="10.140625" bestFit="1" customWidth="1"/>
    <col min="5" max="5" width="9.42578125" bestFit="1" customWidth="1"/>
    <col min="6" max="6" width="9.85546875" bestFit="1" customWidth="1"/>
    <col min="7" max="7" width="10.85546875" bestFit="1" customWidth="1"/>
    <col min="8" max="8" width="9.85546875" bestFit="1" customWidth="1"/>
    <col min="9" max="9" width="10.140625" bestFit="1" customWidth="1"/>
    <col min="10" max="10" width="9.42578125" bestFit="1" customWidth="1"/>
    <col min="11" max="12" width="9.85546875" bestFit="1" customWidth="1"/>
    <col min="13" max="13" width="9.7109375" bestFit="1" customWidth="1"/>
    <col min="14" max="14" width="4.28515625" customWidth="1"/>
    <col min="15" max="17" width="10.7109375" customWidth="1"/>
    <col min="18" max="19" width="12.7109375" customWidth="1"/>
  </cols>
  <sheetData>
    <row r="1" spans="1:23" s="5" customFormat="1" ht="18" x14ac:dyDescent="0.25">
      <c r="A1" s="2" t="s">
        <v>0</v>
      </c>
      <c r="B1" s="3"/>
      <c r="C1"/>
      <c r="D1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3" s="5" customFormat="1" ht="12.75" x14ac:dyDescent="0.2">
      <c r="A2" s="6"/>
      <c r="B2" s="7" t="s">
        <v>1</v>
      </c>
      <c r="C2" s="3"/>
      <c r="D2" s="3"/>
      <c r="E2" s="3"/>
      <c r="F2" s="3"/>
      <c r="G2" s="4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3" s="5" customFormat="1" ht="12.75" x14ac:dyDescent="0.2">
      <c r="A3" s="8" t="s">
        <v>3</v>
      </c>
      <c r="B3" s="3"/>
      <c r="C3" s="3"/>
      <c r="D3" s="3"/>
      <c r="E3" s="3"/>
      <c r="F3" s="3"/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3" s="5" customFormat="1" ht="12.75" x14ac:dyDescent="0.2">
      <c r="A4" s="10">
        <f>'[1]Crude Oil'!A4</f>
        <v>46006</v>
      </c>
      <c r="B4" s="11" t="s">
        <v>4</v>
      </c>
      <c r="C4" s="12"/>
      <c r="D4" s="12"/>
      <c r="E4" s="12"/>
      <c r="F4" s="12"/>
      <c r="G4" s="9" t="str">
        <f>'[1]Crude Oil'!G4</f>
        <v>% change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1" t="s">
        <v>5</v>
      </c>
      <c r="S4" s="11" t="s">
        <v>5</v>
      </c>
    </row>
    <row r="5" spans="1:23" s="5" customFormat="1" ht="12.75" x14ac:dyDescent="0.2">
      <c r="A5" s="13" t="s">
        <v>6</v>
      </c>
      <c r="B5" s="14" t="s">
        <v>7</v>
      </c>
      <c r="C5" s="14">
        <f>'[1]Crude Oil'!C5</f>
        <v>46082</v>
      </c>
      <c r="D5" s="14">
        <f>'[1]Crude Oil'!D5</f>
        <v>46177</v>
      </c>
      <c r="E5" s="14">
        <f>'[1]Crude Oil'!E5</f>
        <v>46272</v>
      </c>
      <c r="F5" s="14">
        <f>'[1]Crude Oil'!F5</f>
        <v>46367</v>
      </c>
      <c r="G5" s="9" t="str">
        <f>'[1]Crude Oil'!G5</f>
        <v>from spot</v>
      </c>
      <c r="H5" s="14">
        <f>'[1]Crude Oil'!H5</f>
        <v>46462</v>
      </c>
      <c r="I5" s="14">
        <f>'[1]Crude Oil'!I5</f>
        <v>46557</v>
      </c>
      <c r="J5" s="14">
        <f>'[1]Crude Oil'!J5</f>
        <v>46652</v>
      </c>
      <c r="K5" s="14">
        <f>'[1]Crude Oil'!K5</f>
        <v>46747</v>
      </c>
      <c r="L5" s="14"/>
      <c r="M5" s="14"/>
      <c r="N5" s="14"/>
      <c r="O5" s="15">
        <f>'[1]Crude Oil'!O5</f>
        <v>2028</v>
      </c>
      <c r="P5" s="15">
        <f>'[1]Crude Oil'!P5</f>
        <v>2029</v>
      </c>
      <c r="Q5" s="15">
        <f>'[1]Crude Oil'!Q5</f>
        <v>2030</v>
      </c>
      <c r="R5" s="14" t="str">
        <f>'[1]Crude Oil'!R5</f>
        <v>2031-2035</v>
      </c>
      <c r="S5" s="14" t="str">
        <f>'[1]Crude Oil'!S5</f>
        <v>2031-2035</v>
      </c>
    </row>
    <row r="6" spans="1:23" s="5" customFormat="1" ht="12.75" x14ac:dyDescent="0.2">
      <c r="A6" s="10">
        <f>'[1]Crude Oil'!$A$6</f>
        <v>46010</v>
      </c>
      <c r="B6" s="3"/>
      <c r="C6" s="3" t="s">
        <v>8</v>
      </c>
      <c r="D6" s="3"/>
      <c r="E6" s="3"/>
      <c r="F6" s="3"/>
      <c r="G6" s="4"/>
      <c r="H6" s="3" t="s">
        <v>8</v>
      </c>
      <c r="I6" s="3"/>
      <c r="J6" s="3"/>
      <c r="K6" s="3"/>
      <c r="L6" s="3"/>
      <c r="M6" s="3"/>
      <c r="N6" s="3"/>
      <c r="O6" s="3"/>
      <c r="P6" s="3"/>
      <c r="Q6" s="3"/>
      <c r="R6" s="3" t="s">
        <v>8</v>
      </c>
      <c r="S6" s="3" t="s">
        <v>9</v>
      </c>
    </row>
    <row r="7" spans="1:23" s="6" customFormat="1" ht="12.75" x14ac:dyDescent="0.2">
      <c r="A7" s="16" t="s">
        <v>10</v>
      </c>
      <c r="B7" s="17">
        <v>11774.5</v>
      </c>
      <c r="C7" s="1">
        <f>IF(COUNT(C20:C200)&lt;&gt;0, AVERAGE(C20:C200), "")</f>
        <v>10972.467704694294</v>
      </c>
      <c r="D7" s="1">
        <f>IF(COUNT(D20:D200)&lt;&gt;0, AVERAGE(D20:D200), "")</f>
        <v>11006.448470789257</v>
      </c>
      <c r="E7" s="1">
        <f>IF(COUNT(E20:E200)&lt;&gt;0, AVERAGE(E20:E200), "")</f>
        <v>10926.949616359818</v>
      </c>
      <c r="F7" s="1">
        <f>IF(COUNT(F20:F200)&lt;&gt;0, AVERAGE(F20:F200), "")</f>
        <v>10938.912695520823</v>
      </c>
      <c r="G7" s="18">
        <f>AVERAGE(G20:G201)</f>
        <v>-7.0965841817416969E-2</v>
      </c>
      <c r="H7" s="1">
        <f>IF(COUNT(H20:H200)&lt;&gt;0, AVERAGE(H20:H200), "")</f>
        <v>10937.082217843845</v>
      </c>
      <c r="I7" s="1">
        <f>IF(COUNT(I20:I200)&lt;&gt;0, AVERAGE(I20:I200), "")</f>
        <v>10869.699744755593</v>
      </c>
      <c r="J7" s="1">
        <f>IF(COUNT(J20:J200)&lt;&gt;0, AVERAGE(J20:J200), "")</f>
        <v>10873.282816198443</v>
      </c>
      <c r="K7" s="1">
        <f>IF(COUNT(K20:K200)&lt;&gt;0, AVERAGE(K20:K200), "")</f>
        <v>10925.555688111479</v>
      </c>
      <c r="L7" s="1">
        <f>AVERAGE(C7:F7)</f>
        <v>10961.194621841049</v>
      </c>
      <c r="M7" s="1">
        <f>AVERAGE(H7:K7)</f>
        <v>10901.405116727339</v>
      </c>
      <c r="N7" s="1"/>
      <c r="O7" s="1">
        <f>IF(COUNT(O20:O200)&lt;&gt;0, AVERAGE(O20:O200), "")</f>
        <v>11048.159916572547</v>
      </c>
      <c r="P7" s="1">
        <f>IF(COUNT(P20:P200)&lt;&gt;0, AVERAGE(P20:P200), "")</f>
        <v>11249.703582523651</v>
      </c>
      <c r="Q7" s="1">
        <f>IF(COUNT(Q20:Q200)&lt;&gt;0, AVERAGE(Q20:Q200), "")</f>
        <v>11454.788574553399</v>
      </c>
      <c r="R7" s="1">
        <f>IF(COUNT(R20:R200)&lt;&gt;0, AVERAGE(R20:R200), "")</f>
        <v>11650.411834032942</v>
      </c>
      <c r="S7" s="1">
        <f>IF(COUNT(S20:S200)&lt;&gt;0, AVERAGE(S20:S200), "")</f>
        <v>9618.2238598230197</v>
      </c>
      <c r="T7" s="1">
        <f>O7</f>
        <v>11048.159916572547</v>
      </c>
      <c r="U7" s="1">
        <f t="shared" ref="U7:V7" si="0">P7</f>
        <v>11249.703582523651</v>
      </c>
      <c r="V7" s="1">
        <f t="shared" si="0"/>
        <v>11454.788574553399</v>
      </c>
      <c r="W7" s="1">
        <f>S7</f>
        <v>9618.2238598230197</v>
      </c>
    </row>
    <row r="8" spans="1:23" s="5" customFormat="1" ht="12.75" x14ac:dyDescent="0.2">
      <c r="A8" s="6"/>
      <c r="B8" s="3"/>
      <c r="C8" s="1"/>
      <c r="D8" s="1"/>
      <c r="E8" s="1"/>
      <c r="F8" s="1"/>
      <c r="G8" s="19"/>
      <c r="H8" s="1"/>
      <c r="I8" s="1"/>
      <c r="J8" s="1"/>
      <c r="K8" s="1"/>
      <c r="L8" s="20">
        <f>AVERAGE(C11:F11)</f>
        <v>918.60066470936056</v>
      </c>
      <c r="M8" s="20">
        <f>AVERAGE(H11:K11)</f>
        <v>1152.7262745646613</v>
      </c>
      <c r="N8" s="20"/>
      <c r="O8" s="1"/>
      <c r="P8" s="1"/>
      <c r="Q8" s="1"/>
      <c r="R8" s="1"/>
      <c r="S8" s="1"/>
      <c r="T8" s="20">
        <f>O11</f>
        <v>1282.0817816080566</v>
      </c>
      <c r="U8" s="20">
        <f t="shared" ref="U8:V8" si="1">P11</f>
        <v>1291.0445117757026</v>
      </c>
      <c r="V8" s="20">
        <f t="shared" si="1"/>
        <v>1532.7881672207948</v>
      </c>
      <c r="W8" s="20">
        <f>S11</f>
        <v>1597.1535219321843</v>
      </c>
    </row>
    <row r="9" spans="1:23" s="5" customFormat="1" ht="12.75" x14ac:dyDescent="0.2">
      <c r="A9" s="6" t="s">
        <v>11</v>
      </c>
      <c r="B9" s="3"/>
      <c r="C9" s="20">
        <f>IF(COUNT(C20:C200)&lt;&gt;0, MAX(C20:C200), "")</f>
        <v>12200</v>
      </c>
      <c r="D9" s="20">
        <f>IF(COUNT(D20:D200)&lt;&gt;0, MAX(D20:D200), "")</f>
        <v>13000</v>
      </c>
      <c r="E9" s="20">
        <f>IF(COUNT(E20:E200)&lt;&gt;0, MAX(E20:E200), "")</f>
        <v>13000</v>
      </c>
      <c r="F9" s="20">
        <f>IF(COUNT(F20:F200)&lt;&gt;0, MAX(F20:F200), "")</f>
        <v>13000</v>
      </c>
      <c r="G9" s="21"/>
      <c r="H9" s="20">
        <f>IF(COUNT(H20:H200)&lt;&gt;0, MAX(H20:H200), "")</f>
        <v>12750</v>
      </c>
      <c r="I9" s="20">
        <f>IF(COUNT(I20:I200)&lt;&gt;0, MAX(I20:I200), "")</f>
        <v>13227.6</v>
      </c>
      <c r="J9" s="20">
        <f>IF(COUNT(J20:J200)&lt;&gt;0, MAX(J20:J200), "")</f>
        <v>13227.6</v>
      </c>
      <c r="K9" s="20">
        <f>IF(COUNT(K20:K200)&lt;&gt;0, MAX(K20:K200), "")</f>
        <v>13227.6</v>
      </c>
      <c r="L9" s="20">
        <f>L7+L8</f>
        <v>11879.795286550408</v>
      </c>
      <c r="M9" s="20">
        <f>M7+M8</f>
        <v>12054.131391292001</v>
      </c>
      <c r="N9" s="20"/>
      <c r="O9" s="20">
        <f>IF(COUNT(O20:O200)&lt;&gt;0, MAX(O20:O200), "")</f>
        <v>12814.237499999999</v>
      </c>
      <c r="P9" s="20">
        <f>IF(COUNT(P20:P200)&lt;&gt;0, MAX(P20:P200), "")</f>
        <v>13109.950296757899</v>
      </c>
      <c r="Q9" s="20">
        <f>IF(COUNT(Q20:Q200)&lt;&gt;0, MAX(Q20:Q200), "")</f>
        <v>13426.7887640484</v>
      </c>
      <c r="R9" s="20">
        <f>IF(COUNT(R20:R200)&lt;&gt;0, MAX(R20:R200), "")</f>
        <v>14264.6477175944</v>
      </c>
      <c r="S9" s="20">
        <f>IF(COUNT(S20:S200)&lt;&gt;0, MAX(S20:S200), "")</f>
        <v>11883.3832862692</v>
      </c>
      <c r="T9" s="24">
        <f>T8+T7</f>
        <v>12330.241698180604</v>
      </c>
      <c r="U9" s="24">
        <f t="shared" ref="U9:W9" si="2">U8+U7</f>
        <v>12540.748094299353</v>
      </c>
      <c r="V9" s="24">
        <f t="shared" si="2"/>
        <v>12987.576741774194</v>
      </c>
      <c r="W9" s="24">
        <f t="shared" si="2"/>
        <v>11215.377381755205</v>
      </c>
    </row>
    <row r="10" spans="1:23" s="5" customFormat="1" ht="12.75" x14ac:dyDescent="0.2">
      <c r="A10" s="6" t="s">
        <v>12</v>
      </c>
      <c r="B10" s="3"/>
      <c r="C10" s="20">
        <f>IF(COUNT(C20:C200)&lt;&gt;0, MIN(C20:C200), "")</f>
        <v>9000</v>
      </c>
      <c r="D10" s="20">
        <f>IF(COUNT(D20:D200)&lt;&gt;0, MIN(D20:D200), "")</f>
        <v>8400</v>
      </c>
      <c r="E10" s="20">
        <f>IF(COUNT(E20:E200)&lt;&gt;0, MIN(E20:E200), "")</f>
        <v>7800</v>
      </c>
      <c r="F10" s="20">
        <f>IF(COUNT(F20:F200)&lt;&gt;0, MIN(F20:F200), "")</f>
        <v>7200</v>
      </c>
      <c r="G10" s="21"/>
      <c r="H10" s="20">
        <f>IF(COUNT(H20:H200)&lt;&gt;0, MIN(H20:H200), "")</f>
        <v>7000</v>
      </c>
      <c r="I10" s="20">
        <f>IF(COUNT(I20:I200)&lt;&gt;0, MIN(I20:I200), "")</f>
        <v>6800</v>
      </c>
      <c r="J10" s="20">
        <f>IF(COUNT(J20:J200)&lt;&gt;0, MIN(J20:J200), "")</f>
        <v>6820</v>
      </c>
      <c r="K10" s="20">
        <f>IF(COUNT(K20:K200)&lt;&gt;0, MIN(K20:K200), "")</f>
        <v>6820</v>
      </c>
      <c r="L10" s="20">
        <f>L7-L8</f>
        <v>10042.593957131689</v>
      </c>
      <c r="M10" s="20">
        <f>M7-M8</f>
        <v>9748.678842162677</v>
      </c>
      <c r="N10" s="20"/>
      <c r="O10" s="20">
        <f>IF(COUNT(O20:O200)&lt;&gt;0, MIN(O20:O200), "")</f>
        <v>6920</v>
      </c>
      <c r="P10" s="20">
        <f>IF(COUNT(P20:P200)&lt;&gt;0, MIN(P20:P200), "")</f>
        <v>6950</v>
      </c>
      <c r="Q10" s="20">
        <f>IF(COUNT(Q20:Q200)&lt;&gt;0, MIN(Q20:Q200), "")</f>
        <v>7108.5450000000101</v>
      </c>
      <c r="R10" s="20">
        <f>IF(COUNT(R20:R200)&lt;&gt;0, MIN(R20:R200), "")</f>
        <v>7055.5800000000099</v>
      </c>
      <c r="S10" s="20">
        <f>IF(COUNT(S20:S200)&lt;&gt;0, MIN(S20:S200), "")</f>
        <v>6420</v>
      </c>
      <c r="T10" s="24">
        <f>T7-T8</f>
        <v>9766.0781349644913</v>
      </c>
      <c r="U10" s="24">
        <f t="shared" ref="U10:W10" si="3">U7-U8</f>
        <v>9958.6590707479481</v>
      </c>
      <c r="V10" s="24">
        <f t="shared" si="3"/>
        <v>9922.0004073326036</v>
      </c>
      <c r="W10" s="24">
        <f t="shared" si="3"/>
        <v>8021.0703378908356</v>
      </c>
    </row>
    <row r="11" spans="1:23" s="5" customFormat="1" ht="12.75" x14ac:dyDescent="0.2">
      <c r="A11" s="6" t="s">
        <v>13</v>
      </c>
      <c r="B11" s="3"/>
      <c r="C11" s="20">
        <f>IF(COUNT(C20:C200)&gt;1, STDEV(C20:C200), "")</f>
        <v>695.50714470499486</v>
      </c>
      <c r="D11" s="20">
        <f>IF(COUNT(D20:D200)&gt;1, STDEV(D20:D200), "")</f>
        <v>966.23513888919263</v>
      </c>
      <c r="E11" s="20">
        <f>IF(COUNT(E20:E200)&gt;1, STDEV(E20:E200), "")</f>
        <v>959.03630940933408</v>
      </c>
      <c r="F11" s="20">
        <f>IF(COUNT(F20:F200)&gt;1, STDEV(F20:F200), "")</f>
        <v>1053.6240658339207</v>
      </c>
      <c r="G11" s="21"/>
      <c r="H11" s="20">
        <f>IF(COUNT(H20:H200)&gt;1, STDEV(H20:H200), "")</f>
        <v>1088.3925198227896</v>
      </c>
      <c r="I11" s="20">
        <f>IF(COUNT(I20:I200)&gt;1, STDEV(I20:I200), "")</f>
        <v>1144.7515789540419</v>
      </c>
      <c r="J11" s="20">
        <f>IF(COUNT(J20:J200)&gt;1, STDEV(J20:J200), "")</f>
        <v>1153.6130414031584</v>
      </c>
      <c r="K11" s="20">
        <f>IF(COUNT(K20:K200)&gt;1, STDEV(K20:K200), "")</f>
        <v>1224.1479580786549</v>
      </c>
      <c r="L11" s="20"/>
      <c r="M11" s="20"/>
      <c r="N11" s="20"/>
      <c r="O11" s="20">
        <f>IF(COUNT(O20:O200)&gt;1, STDEV(O20:O200), "")</f>
        <v>1282.0817816080566</v>
      </c>
      <c r="P11" s="20">
        <f>IF(COUNT(P20:P200)&gt;1, STDEV(P20:P200), "")</f>
        <v>1291.0445117757026</v>
      </c>
      <c r="Q11" s="20">
        <f>IF(COUNT(Q20:Q200)&gt;1, STDEV(Q20:Q200), "")</f>
        <v>1532.7881672207948</v>
      </c>
      <c r="R11" s="20">
        <f>IF(COUNT(R20:R200)&gt;1, STDEV(R20:R200), "")</f>
        <v>2132.3432450816185</v>
      </c>
      <c r="S11" s="20">
        <f>IF(COUNT(S20:S200)&gt;1, STDEV(S20:S200), "")</f>
        <v>1597.1535219321843</v>
      </c>
    </row>
    <row r="12" spans="1:23" s="5" customFormat="1" ht="12.75" x14ac:dyDescent="0.2">
      <c r="A12" s="6" t="s">
        <v>14</v>
      </c>
      <c r="B12" s="3"/>
      <c r="C12" s="20">
        <f>IF(COUNT(C20:C200)&lt;&gt;0, COUNT(C20:C200), "")</f>
        <v>29</v>
      </c>
      <c r="D12" s="20">
        <f>IF(COUNT(D20:D200)&lt;&gt;0, COUNT(D20:D200), "")</f>
        <v>29</v>
      </c>
      <c r="E12" s="20">
        <f>IF(COUNT(E20:E200)&lt;&gt;0, COUNT(E20:E200), "")</f>
        <v>29</v>
      </c>
      <c r="F12" s="20">
        <f>IF(COUNT(F20:F200)&lt;&gt;0, COUNT(F20:F200), "")</f>
        <v>29</v>
      </c>
      <c r="G12" s="22"/>
      <c r="H12" s="20">
        <f>IF(COUNT(H20:H200)&lt;&gt;0, COUNT(H20:H200), "")</f>
        <v>26</v>
      </c>
      <c r="I12" s="20">
        <f>IF(COUNT(I20:I200)&lt;&gt;0, COUNT(I20:I200), "")</f>
        <v>25</v>
      </c>
      <c r="J12" s="20">
        <f>IF(COUNT(J20:J200)&lt;&gt;0, COUNT(J20:J200), "")</f>
        <v>25</v>
      </c>
      <c r="K12" s="20">
        <f>IF(COUNT(K20:K200)&lt;&gt;0, COUNT(K20:K200), "")</f>
        <v>23</v>
      </c>
      <c r="L12" s="23"/>
      <c r="M12" s="23"/>
      <c r="N12" s="23"/>
      <c r="O12" s="20">
        <f>IF(COUNT(O20:O200)&lt;&gt;0, COUNT(O20:O200), "")</f>
        <v>19</v>
      </c>
      <c r="P12" s="20">
        <f>IF(COUNT(P20:P200)&lt;&gt;0, COUNT(P20:P200), "")</f>
        <v>18</v>
      </c>
      <c r="Q12" s="20">
        <f>IF(COUNT(Q20:Q200)&lt;&gt;0, COUNT(Q20:Q200), "")</f>
        <v>13</v>
      </c>
      <c r="R12" s="20">
        <f>IF(COUNT(R20:R200)&lt;&gt;0, COUNT(R20:R200), "")</f>
        <v>10</v>
      </c>
      <c r="S12" s="20">
        <f>IF(COUNT(S20:S200)&lt;&gt;0, COUNT(S20:S200), "")</f>
        <v>11</v>
      </c>
    </row>
    <row r="13" spans="1:23" s="5" customFormat="1" ht="12.75" x14ac:dyDescent="0.2">
      <c r="A13" s="6"/>
      <c r="B13" s="3"/>
      <c r="C13" s="12"/>
      <c r="D13" s="12"/>
      <c r="E13" s="12"/>
      <c r="F13" s="12"/>
      <c r="G13" s="1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23" s="5" customFormat="1" ht="12.75" x14ac:dyDescent="0.2">
      <c r="A14" s="6"/>
      <c r="B14" s="3"/>
      <c r="C14" s="20"/>
      <c r="D14" s="20"/>
      <c r="E14" s="20"/>
      <c r="F14" s="20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23" s="5" customFormat="1" ht="12.75" x14ac:dyDescent="0.2">
      <c r="A15" s="6"/>
      <c r="B15" s="3"/>
      <c r="C15" s="20"/>
      <c r="D15" s="20"/>
      <c r="E15" s="20"/>
      <c r="F15" s="20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23" s="5" customFormat="1" ht="12.75" x14ac:dyDescent="0.2">
      <c r="A16" s="6"/>
      <c r="B16" s="3"/>
      <c r="C16" s="20"/>
      <c r="D16" s="20"/>
      <c r="E16" s="20"/>
      <c r="F16" s="20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9" s="5" customFormat="1" ht="12.75" x14ac:dyDescent="0.2">
      <c r="A17" s="6"/>
      <c r="B17" s="3"/>
      <c r="C17" s="20"/>
      <c r="D17" s="20"/>
      <c r="E17" s="20"/>
      <c r="F17" s="20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9" s="5" customFormat="1" ht="12.75" x14ac:dyDescent="0.2">
      <c r="A18" s="6"/>
      <c r="B18" s="3"/>
      <c r="C18" s="20"/>
      <c r="D18" s="20"/>
      <c r="E18" s="20"/>
      <c r="F18" s="20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9" s="5" customFormat="1" ht="12.75" x14ac:dyDescent="0.2">
      <c r="A19" s="6"/>
      <c r="B19" s="3"/>
      <c r="C19" s="20"/>
      <c r="D19" s="20"/>
      <c r="E19" s="20"/>
      <c r="F19" s="20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9" s="5" customFormat="1" ht="12.75" x14ac:dyDescent="0.2">
      <c r="A20" s="8" t="s">
        <v>15</v>
      </c>
      <c r="B20" s="3"/>
      <c r="C20" s="20">
        <v>12000</v>
      </c>
      <c r="D20" s="20">
        <v>13000</v>
      </c>
      <c r="E20" s="20">
        <v>13000</v>
      </c>
      <c r="F20" s="20">
        <v>13000</v>
      </c>
      <c r="G20" s="19">
        <v>0.10408085269013546</v>
      </c>
      <c r="H20" s="20" t="s">
        <v>16</v>
      </c>
      <c r="I20" s="20" t="s">
        <v>16</v>
      </c>
      <c r="J20" s="20" t="s">
        <v>16</v>
      </c>
      <c r="K20" s="20" t="s">
        <v>16</v>
      </c>
      <c r="L20" s="20"/>
      <c r="M20" s="20"/>
      <c r="N20" s="20"/>
      <c r="O20" s="20" t="s">
        <v>16</v>
      </c>
      <c r="P20" s="20"/>
      <c r="Q20" s="20"/>
      <c r="R20" s="20"/>
      <c r="S20" s="24"/>
    </row>
    <row r="21" spans="1:19" s="5" customFormat="1" ht="12.75" x14ac:dyDescent="0.2">
      <c r="A21" s="8" t="s">
        <v>17</v>
      </c>
      <c r="B21" s="3"/>
      <c r="C21" s="20">
        <v>11000</v>
      </c>
      <c r="D21" s="20">
        <v>11500</v>
      </c>
      <c r="E21" s="20">
        <v>12000</v>
      </c>
      <c r="F21" s="20">
        <v>12500</v>
      </c>
      <c r="G21" s="19">
        <v>6.1616204509745635E-2</v>
      </c>
      <c r="H21" s="20">
        <v>12750</v>
      </c>
      <c r="I21" s="20" t="s">
        <v>16</v>
      </c>
      <c r="J21" s="20" t="s">
        <v>16</v>
      </c>
      <c r="K21" s="20" t="s">
        <v>16</v>
      </c>
      <c r="L21" s="20"/>
      <c r="M21" s="20"/>
      <c r="N21" s="20"/>
      <c r="O21" s="20">
        <v>12394</v>
      </c>
      <c r="P21" s="20">
        <v>12034</v>
      </c>
      <c r="Q21" s="20">
        <v>11674</v>
      </c>
      <c r="R21" s="20"/>
      <c r="S21" s="24"/>
    </row>
    <row r="22" spans="1:19" s="5" customFormat="1" ht="12.75" x14ac:dyDescent="0.2">
      <c r="A22" s="8" t="s">
        <v>18</v>
      </c>
      <c r="B22" s="3"/>
      <c r="C22" s="20">
        <v>10912.77</v>
      </c>
      <c r="D22" s="20">
        <v>11243.46</v>
      </c>
      <c r="E22" s="20">
        <v>11574.15</v>
      </c>
      <c r="F22" s="20">
        <v>12125.3</v>
      </c>
      <c r="G22" s="19">
        <v>2.9793197163361439E-2</v>
      </c>
      <c r="H22" s="20">
        <v>12676.45</v>
      </c>
      <c r="I22" s="20">
        <v>13227.6</v>
      </c>
      <c r="J22" s="20">
        <v>13227.6</v>
      </c>
      <c r="K22" s="20">
        <v>13227.6</v>
      </c>
      <c r="L22" s="20"/>
      <c r="M22" s="20"/>
      <c r="N22" s="20"/>
      <c r="O22" s="20">
        <v>12814.237499999999</v>
      </c>
      <c r="P22" s="20">
        <v>12125.3</v>
      </c>
      <c r="Q22" s="20">
        <v>12400.875</v>
      </c>
      <c r="R22" s="20">
        <v>13064.2797953845</v>
      </c>
      <c r="S22" s="24">
        <v>11023</v>
      </c>
    </row>
    <row r="23" spans="1:19" s="5" customFormat="1" ht="12.75" x14ac:dyDescent="0.2">
      <c r="A23" s="8" t="s">
        <v>19</v>
      </c>
      <c r="B23" s="3"/>
      <c r="C23" s="20">
        <v>10500</v>
      </c>
      <c r="D23" s="20">
        <v>11000</v>
      </c>
      <c r="E23" s="20">
        <v>11500</v>
      </c>
      <c r="F23" s="20">
        <v>12000</v>
      </c>
      <c r="G23" s="19">
        <v>1.915155632935581E-2</v>
      </c>
      <c r="H23" s="20">
        <v>12000</v>
      </c>
      <c r="I23" s="20">
        <v>12000</v>
      </c>
      <c r="J23" s="20">
        <v>12000</v>
      </c>
      <c r="K23" s="20">
        <v>12000</v>
      </c>
      <c r="L23" s="20"/>
      <c r="M23" s="20"/>
      <c r="N23" s="20"/>
      <c r="O23" s="20" t="s">
        <v>16</v>
      </c>
      <c r="P23" s="20"/>
      <c r="Q23" s="20"/>
      <c r="R23" s="20"/>
      <c r="S23" s="24"/>
    </row>
    <row r="24" spans="1:19" s="5" customFormat="1" ht="12.75" x14ac:dyDescent="0.2">
      <c r="A24" s="8" t="s">
        <v>20</v>
      </c>
      <c r="B24" s="3"/>
      <c r="C24" s="23">
        <v>12000</v>
      </c>
      <c r="D24" s="23">
        <v>12500</v>
      </c>
      <c r="E24" s="23">
        <v>12000</v>
      </c>
      <c r="F24" s="23">
        <v>11800</v>
      </c>
      <c r="G24" s="19">
        <v>2.165697057199881E-3</v>
      </c>
      <c r="H24" s="23">
        <v>11700</v>
      </c>
      <c r="I24" s="23">
        <v>11600</v>
      </c>
      <c r="J24" s="23">
        <v>11600</v>
      </c>
      <c r="K24" s="23">
        <v>11500</v>
      </c>
      <c r="L24" s="23"/>
      <c r="M24" s="23"/>
      <c r="N24" s="23"/>
      <c r="O24" s="23" t="s">
        <v>16</v>
      </c>
      <c r="P24" s="23"/>
      <c r="Q24" s="23"/>
      <c r="R24" s="23"/>
      <c r="S24" s="25"/>
    </row>
    <row r="25" spans="1:19" s="5" customFormat="1" ht="12.75" x14ac:dyDescent="0.2">
      <c r="A25" s="8" t="s">
        <v>21</v>
      </c>
      <c r="B25" s="3"/>
      <c r="C25" s="23">
        <v>11544.2773092642</v>
      </c>
      <c r="D25" s="23">
        <v>11695.1830736669</v>
      </c>
      <c r="E25" s="23">
        <v>11573.1471363565</v>
      </c>
      <c r="F25" s="23">
        <v>11774.0464940619</v>
      </c>
      <c r="G25" s="19">
        <v>-3.8515940218236397E-5</v>
      </c>
      <c r="H25" s="23">
        <v>12077.9796603799</v>
      </c>
      <c r="I25" s="23">
        <v>12140.3690760442</v>
      </c>
      <c r="J25" s="23">
        <v>11973.452528101699</v>
      </c>
      <c r="K25" s="23">
        <v>12251.542421894201</v>
      </c>
      <c r="L25" s="23"/>
      <c r="M25" s="23"/>
      <c r="N25" s="23"/>
      <c r="O25" s="23">
        <v>12705.844387470501</v>
      </c>
      <c r="P25" s="23">
        <v>13109.950296757899</v>
      </c>
      <c r="Q25" s="23">
        <v>13426.7887640484</v>
      </c>
      <c r="R25" s="23">
        <v>14264.6477175944</v>
      </c>
      <c r="S25" s="25">
        <v>11883.3832862692</v>
      </c>
    </row>
    <row r="26" spans="1:19" s="5" customFormat="1" ht="12.75" x14ac:dyDescent="0.2">
      <c r="A26" s="6" t="s">
        <v>22</v>
      </c>
      <c r="B26" s="3"/>
      <c r="C26" s="23">
        <v>11580</v>
      </c>
      <c r="D26" s="23">
        <v>11670</v>
      </c>
      <c r="E26" s="23">
        <v>11700</v>
      </c>
      <c r="F26" s="23">
        <v>11570</v>
      </c>
      <c r="G26" s="19">
        <v>-1.7368041105779438E-2</v>
      </c>
      <c r="H26" s="23">
        <v>11430</v>
      </c>
      <c r="I26" s="23">
        <v>11330</v>
      </c>
      <c r="J26" s="23">
        <v>11200</v>
      </c>
      <c r="K26" s="23">
        <v>11740</v>
      </c>
      <c r="L26" s="23"/>
      <c r="M26" s="23"/>
      <c r="N26" s="23"/>
      <c r="O26" s="23" t="s">
        <v>16</v>
      </c>
      <c r="P26" s="23"/>
      <c r="Q26" s="23"/>
      <c r="R26" s="23"/>
      <c r="S26" s="25"/>
    </row>
    <row r="27" spans="1:19" s="5" customFormat="1" ht="12.75" x14ac:dyDescent="0.2">
      <c r="A27" s="6" t="s">
        <v>23</v>
      </c>
      <c r="B27" s="3"/>
      <c r="C27" s="23">
        <v>11575.8504903347</v>
      </c>
      <c r="D27" s="23">
        <v>11560.8383843601</v>
      </c>
      <c r="E27" s="23">
        <v>11545.826278385501</v>
      </c>
      <c r="F27" s="23">
        <v>11530.814172410899</v>
      </c>
      <c r="G27" s="19">
        <v>-2.0696065870236605E-2</v>
      </c>
      <c r="H27" s="23">
        <v>11522.6764288493</v>
      </c>
      <c r="I27" s="23">
        <v>11517.9758664943</v>
      </c>
      <c r="J27" s="23">
        <v>11513.275304139201</v>
      </c>
      <c r="K27" s="23">
        <v>11508.574741784199</v>
      </c>
      <c r="L27" s="23"/>
      <c r="M27" s="23"/>
      <c r="N27" s="23"/>
      <c r="O27" s="23">
        <v>11498.4900117178</v>
      </c>
      <c r="P27" s="23">
        <v>11467.2962083776</v>
      </c>
      <c r="Q27" s="23">
        <v>11418.0745750899</v>
      </c>
      <c r="R27" s="23">
        <v>12654.1868812884</v>
      </c>
      <c r="S27" s="25">
        <v>11461.2869317284</v>
      </c>
    </row>
    <row r="28" spans="1:19" s="5" customFormat="1" ht="12.75" x14ac:dyDescent="0.2">
      <c r="A28" s="6" t="s">
        <v>24</v>
      </c>
      <c r="B28" s="3"/>
      <c r="C28" s="23">
        <v>11500.104327315599</v>
      </c>
      <c r="D28" s="23">
        <v>12200.110677674</v>
      </c>
      <c r="E28" s="23">
        <v>11900.107956091801</v>
      </c>
      <c r="F28" s="23">
        <v>11500.104327315599</v>
      </c>
      <c r="G28" s="19">
        <v>-2.3304231405528963E-2</v>
      </c>
      <c r="H28" s="23">
        <v>10800.0979769573</v>
      </c>
      <c r="I28" s="23">
        <v>10700.0970697632</v>
      </c>
      <c r="J28" s="23">
        <v>10500.095255375099</v>
      </c>
      <c r="K28" s="23">
        <v>10500.095255375099</v>
      </c>
      <c r="L28" s="23"/>
      <c r="M28" s="23"/>
      <c r="N28" s="23"/>
      <c r="O28" s="23">
        <v>10075.0913998004</v>
      </c>
      <c r="P28" s="23">
        <v>10300.093440987001</v>
      </c>
      <c r="Q28" s="23">
        <v>10500.095255375099</v>
      </c>
      <c r="R28" s="23">
        <v>11140.8408232937</v>
      </c>
      <c r="S28" s="25">
        <v>9700.0879978227294</v>
      </c>
    </row>
    <row r="29" spans="1:19" s="5" customFormat="1" ht="12.75" x14ac:dyDescent="0.2">
      <c r="A29" s="6" t="s">
        <v>25</v>
      </c>
      <c r="B29" s="3"/>
      <c r="C29" s="23">
        <v>11000</v>
      </c>
      <c r="D29" s="23">
        <v>10500</v>
      </c>
      <c r="E29" s="23">
        <v>11000</v>
      </c>
      <c r="F29" s="23">
        <v>11500</v>
      </c>
      <c r="G29" s="19">
        <v>-2.3313091851034015E-2</v>
      </c>
      <c r="H29" s="23">
        <v>11750</v>
      </c>
      <c r="I29" s="23">
        <v>12000</v>
      </c>
      <c r="J29" s="23">
        <v>12000</v>
      </c>
      <c r="K29" s="23">
        <v>12000</v>
      </c>
      <c r="L29" s="23"/>
      <c r="M29" s="23"/>
      <c r="N29" s="23"/>
      <c r="O29" s="23" t="s">
        <v>16</v>
      </c>
      <c r="P29" s="23"/>
      <c r="Q29" s="23"/>
      <c r="R29" s="23"/>
      <c r="S29" s="25"/>
    </row>
    <row r="30" spans="1:19" s="5" customFormat="1" ht="12.75" x14ac:dyDescent="0.2">
      <c r="A30" s="6" t="s">
        <v>26</v>
      </c>
      <c r="B30" s="3"/>
      <c r="C30" s="23">
        <v>12200</v>
      </c>
      <c r="D30" s="23">
        <v>12500</v>
      </c>
      <c r="E30" s="23">
        <v>11500</v>
      </c>
      <c r="F30" s="23">
        <v>11300</v>
      </c>
      <c r="G30" s="19">
        <v>-4.0298951123189944E-2</v>
      </c>
      <c r="H30" s="23">
        <v>11200</v>
      </c>
      <c r="I30" s="23">
        <v>11200</v>
      </c>
      <c r="J30" s="23">
        <v>11400</v>
      </c>
      <c r="K30" s="23">
        <v>11400</v>
      </c>
      <c r="L30" s="23"/>
      <c r="M30" s="23"/>
      <c r="N30" s="23"/>
      <c r="O30" s="23">
        <v>11400</v>
      </c>
      <c r="P30" s="23">
        <v>11625</v>
      </c>
      <c r="Q30" s="23"/>
      <c r="R30" s="23"/>
      <c r="S30" s="25">
        <v>10500</v>
      </c>
    </row>
    <row r="31" spans="1:19" s="5" customFormat="1" ht="12.75" x14ac:dyDescent="0.2">
      <c r="A31" s="6" t="s">
        <v>27</v>
      </c>
      <c r="B31" s="3"/>
      <c r="C31" s="23">
        <v>11550</v>
      </c>
      <c r="D31" s="23">
        <v>11500</v>
      </c>
      <c r="E31" s="23">
        <v>11300</v>
      </c>
      <c r="F31" s="23">
        <v>11200</v>
      </c>
      <c r="G31" s="19">
        <v>-4.8791880759267908E-2</v>
      </c>
      <c r="H31" s="23">
        <v>10800</v>
      </c>
      <c r="I31" s="23">
        <v>10650</v>
      </c>
      <c r="J31" s="23">
        <v>10700</v>
      </c>
      <c r="K31" s="23">
        <v>10850</v>
      </c>
      <c r="L31" s="23"/>
      <c r="M31" s="23"/>
      <c r="N31" s="23"/>
      <c r="O31" s="23">
        <v>11500</v>
      </c>
      <c r="P31" s="23">
        <v>12000</v>
      </c>
      <c r="Q31" s="23">
        <v>12250</v>
      </c>
      <c r="R31" s="23">
        <v>14000</v>
      </c>
      <c r="S31" s="25"/>
    </row>
    <row r="32" spans="1:19" s="5" customFormat="1" ht="12.75" x14ac:dyDescent="0.2">
      <c r="A32" s="6" t="s">
        <v>28</v>
      </c>
      <c r="B32" s="3"/>
      <c r="C32" s="23">
        <v>11118</v>
      </c>
      <c r="D32" s="23">
        <v>11113</v>
      </c>
      <c r="E32" s="23">
        <v>11031</v>
      </c>
      <c r="F32" s="23">
        <v>11047</v>
      </c>
      <c r="G32" s="19">
        <v>-6.1786063102467197E-2</v>
      </c>
      <c r="H32" s="23">
        <v>11064</v>
      </c>
      <c r="I32" s="23">
        <v>11086</v>
      </c>
      <c r="J32" s="23">
        <v>11144</v>
      </c>
      <c r="K32" s="23">
        <v>11496</v>
      </c>
      <c r="L32" s="23"/>
      <c r="M32" s="23"/>
      <c r="N32" s="23"/>
      <c r="O32" s="23">
        <v>11913</v>
      </c>
      <c r="P32" s="23">
        <v>12369</v>
      </c>
      <c r="Q32" s="23">
        <v>12528</v>
      </c>
      <c r="R32" s="23">
        <v>12181</v>
      </c>
      <c r="S32" s="25">
        <v>9720</v>
      </c>
    </row>
    <row r="33" spans="1:19" s="5" customFormat="1" ht="12.75" x14ac:dyDescent="0.2">
      <c r="A33" s="6" t="s">
        <v>29</v>
      </c>
      <c r="B33" s="3"/>
      <c r="C33" s="23">
        <v>10692.31</v>
      </c>
      <c r="D33" s="23">
        <v>10692.31</v>
      </c>
      <c r="E33" s="23">
        <v>11023</v>
      </c>
      <c r="F33" s="23">
        <v>11023</v>
      </c>
      <c r="G33" s="19">
        <v>-6.3824366215125911E-2</v>
      </c>
      <c r="H33" s="23">
        <v>11243.46</v>
      </c>
      <c r="I33" s="23">
        <v>11243.46</v>
      </c>
      <c r="J33" s="23">
        <v>11353.69</v>
      </c>
      <c r="K33" s="23" t="s">
        <v>16</v>
      </c>
      <c r="L33" s="23"/>
      <c r="M33" s="23"/>
      <c r="N33" s="23"/>
      <c r="O33" s="23">
        <v>11353.69</v>
      </c>
      <c r="P33" s="23">
        <v>10361.620000000001</v>
      </c>
      <c r="Q33" s="23"/>
      <c r="R33" s="23">
        <v>10043.8866278734</v>
      </c>
      <c r="S33" s="25">
        <v>8774.3042422328999</v>
      </c>
    </row>
    <row r="34" spans="1:19" s="5" customFormat="1" ht="12.75" x14ac:dyDescent="0.2">
      <c r="A34" s="6" t="s">
        <v>30</v>
      </c>
      <c r="B34" s="3"/>
      <c r="C34" s="23">
        <v>11500</v>
      </c>
      <c r="D34" s="23">
        <v>12000</v>
      </c>
      <c r="E34" s="23">
        <v>11500</v>
      </c>
      <c r="F34" s="23">
        <v>11000</v>
      </c>
      <c r="G34" s="19">
        <v>-6.5777740031423837E-2</v>
      </c>
      <c r="H34" s="23" t="s">
        <v>16</v>
      </c>
      <c r="I34" s="23" t="s">
        <v>16</v>
      </c>
      <c r="J34" s="23" t="s">
        <v>16</v>
      </c>
      <c r="K34" s="23" t="s">
        <v>16</v>
      </c>
      <c r="L34" s="23"/>
      <c r="M34" s="23"/>
      <c r="N34" s="23"/>
      <c r="O34" s="23" t="s">
        <v>16</v>
      </c>
      <c r="P34" s="23"/>
      <c r="Q34" s="23"/>
      <c r="R34" s="23"/>
      <c r="S34" s="25"/>
    </row>
    <row r="35" spans="1:19" s="5" customFormat="1" ht="12.75" x14ac:dyDescent="0.2">
      <c r="A35" s="6" t="s">
        <v>31</v>
      </c>
      <c r="B35" s="3"/>
      <c r="C35" s="23">
        <v>10969.223286194199</v>
      </c>
      <c r="D35" s="23">
        <v>10982.954249009999</v>
      </c>
      <c r="E35" s="23">
        <v>10962.2152119075</v>
      </c>
      <c r="F35" s="23">
        <v>10949.2394081077</v>
      </c>
      <c r="G35" s="19">
        <v>-7.0088801383693569E-2</v>
      </c>
      <c r="H35" s="23">
        <v>10866.997755988399</v>
      </c>
      <c r="I35" s="23">
        <v>10804.3020780438</v>
      </c>
      <c r="J35" s="23">
        <v>10737.421611100899</v>
      </c>
      <c r="K35" s="23">
        <v>10715.5011473377</v>
      </c>
      <c r="L35" s="23"/>
      <c r="M35" s="23"/>
      <c r="N35" s="23"/>
      <c r="O35" s="23" t="s">
        <v>16</v>
      </c>
      <c r="P35" s="23"/>
      <c r="Q35" s="23"/>
      <c r="R35" s="23"/>
      <c r="S35" s="25"/>
    </row>
    <row r="36" spans="1:19" s="5" customFormat="1" ht="12.75" x14ac:dyDescent="0.2">
      <c r="A36" s="6" t="s">
        <v>32</v>
      </c>
      <c r="B36" s="3"/>
      <c r="C36" s="23">
        <v>10650</v>
      </c>
      <c r="D36" s="23">
        <v>10600</v>
      </c>
      <c r="E36" s="23">
        <v>10650</v>
      </c>
      <c r="F36" s="23">
        <v>10700</v>
      </c>
      <c r="G36" s="19">
        <v>-9.125652893965773E-2</v>
      </c>
      <c r="H36" s="23">
        <v>10776.32</v>
      </c>
      <c r="I36" s="23">
        <v>10865.76</v>
      </c>
      <c r="J36" s="23">
        <v>10965.18</v>
      </c>
      <c r="K36" s="23">
        <v>11074.82</v>
      </c>
      <c r="L36" s="23"/>
      <c r="M36" s="23"/>
      <c r="N36" s="23"/>
      <c r="O36" s="23">
        <v>11354.48</v>
      </c>
      <c r="P36" s="23">
        <v>11815.522499999999</v>
      </c>
      <c r="Q36" s="23">
        <v>12295.247499999999</v>
      </c>
      <c r="R36" s="23"/>
      <c r="S36" s="25"/>
    </row>
    <row r="37" spans="1:19" s="5" customFormat="1" ht="12.75" x14ac:dyDescent="0.2">
      <c r="A37" s="6" t="s">
        <v>33</v>
      </c>
      <c r="B37" s="3"/>
      <c r="C37" s="23">
        <v>11375</v>
      </c>
      <c r="D37" s="23">
        <v>11125</v>
      </c>
      <c r="E37" s="23">
        <v>10875</v>
      </c>
      <c r="F37" s="23">
        <v>10625</v>
      </c>
      <c r="G37" s="19">
        <v>-9.7626226166716207E-2</v>
      </c>
      <c r="H37" s="23">
        <v>10410</v>
      </c>
      <c r="I37" s="23">
        <v>10225</v>
      </c>
      <c r="J37" s="23">
        <v>10040</v>
      </c>
      <c r="K37" s="23">
        <v>9850</v>
      </c>
      <c r="L37" s="23"/>
      <c r="M37" s="23"/>
      <c r="N37" s="23"/>
      <c r="O37" s="23" t="s">
        <v>16</v>
      </c>
      <c r="P37" s="23"/>
      <c r="Q37" s="23"/>
      <c r="R37" s="23"/>
      <c r="S37" s="25"/>
    </row>
    <row r="38" spans="1:19" s="5" customFormat="1" ht="12.75" x14ac:dyDescent="0.2">
      <c r="A38" s="6" t="s">
        <v>34</v>
      </c>
      <c r="B38" s="3"/>
      <c r="C38" s="23">
        <v>10908.2457755619</v>
      </c>
      <c r="D38" s="23">
        <v>10300.802326885099</v>
      </c>
      <c r="E38" s="23">
        <v>10363.3292828095</v>
      </c>
      <c r="F38" s="23">
        <v>10615.736393942099</v>
      </c>
      <c r="G38" s="19">
        <v>-9.8412977710977165E-2</v>
      </c>
      <c r="H38" s="23">
        <v>10885.548638325499</v>
      </c>
      <c r="I38" s="23">
        <v>11060.124302137199</v>
      </c>
      <c r="J38" s="23">
        <v>11234.286362880899</v>
      </c>
      <c r="K38" s="23">
        <v>11286.3044260772</v>
      </c>
      <c r="L38" s="23"/>
      <c r="M38" s="23"/>
      <c r="N38" s="23"/>
      <c r="O38" s="23" t="s">
        <v>16</v>
      </c>
      <c r="P38" s="23"/>
      <c r="Q38" s="23"/>
      <c r="R38" s="23"/>
      <c r="S38" s="25"/>
    </row>
    <row r="39" spans="1:19" s="5" customFormat="1" ht="12.75" x14ac:dyDescent="0.2">
      <c r="A39" s="6" t="s">
        <v>35</v>
      </c>
      <c r="B39" s="3"/>
      <c r="C39" s="23">
        <v>10600</v>
      </c>
      <c r="D39" s="23">
        <v>10200</v>
      </c>
      <c r="E39" s="23">
        <v>10500</v>
      </c>
      <c r="F39" s="23">
        <v>10600</v>
      </c>
      <c r="G39" s="19">
        <v>-9.9749458575735694E-2</v>
      </c>
      <c r="H39" s="23">
        <v>10900</v>
      </c>
      <c r="I39" s="23">
        <v>11000</v>
      </c>
      <c r="J39" s="23">
        <v>11200</v>
      </c>
      <c r="K39" s="23">
        <v>11400</v>
      </c>
      <c r="L39" s="23"/>
      <c r="M39" s="23"/>
      <c r="N39" s="23"/>
      <c r="O39" s="23">
        <v>11611.3</v>
      </c>
      <c r="P39" s="23">
        <v>11949.6</v>
      </c>
      <c r="Q39" s="23"/>
      <c r="R39" s="23"/>
      <c r="S39" s="25"/>
    </row>
    <row r="40" spans="1:19" s="5" customFormat="1" ht="12.75" x14ac:dyDescent="0.2">
      <c r="A40" s="6" t="s">
        <v>36</v>
      </c>
      <c r="B40" s="3"/>
      <c r="C40" s="23">
        <v>10900</v>
      </c>
      <c r="D40" s="23">
        <v>11000</v>
      </c>
      <c r="E40" s="23">
        <v>10800</v>
      </c>
      <c r="F40" s="23">
        <v>10500</v>
      </c>
      <c r="G40" s="19">
        <v>-0.10824238821181366</v>
      </c>
      <c r="H40" s="23">
        <v>10000</v>
      </c>
      <c r="I40" s="23">
        <v>9600</v>
      </c>
      <c r="J40" s="23">
        <v>9500</v>
      </c>
      <c r="K40" s="23">
        <v>9800</v>
      </c>
      <c r="L40" s="23"/>
      <c r="M40" s="23"/>
      <c r="N40" s="23"/>
      <c r="O40" s="23">
        <v>10000</v>
      </c>
      <c r="P40" s="23">
        <v>11000</v>
      </c>
      <c r="Q40" s="23">
        <v>10628.1788398593</v>
      </c>
      <c r="R40" s="23"/>
      <c r="S40" s="25">
        <v>9500</v>
      </c>
    </row>
    <row r="41" spans="1:19" s="5" customFormat="1" ht="12.75" x14ac:dyDescent="0.2">
      <c r="A41" s="6" t="s">
        <v>37</v>
      </c>
      <c r="B41" s="3"/>
      <c r="C41" s="23">
        <v>10708.59</v>
      </c>
      <c r="D41" s="23">
        <v>10385.51</v>
      </c>
      <c r="E41" s="23">
        <v>10411.219999999999</v>
      </c>
      <c r="F41" s="23">
        <v>10286.34</v>
      </c>
      <c r="G41" s="19">
        <v>-0.12638838167225783</v>
      </c>
      <c r="H41" s="23">
        <v>10464.67</v>
      </c>
      <c r="I41" s="23">
        <v>10328.99</v>
      </c>
      <c r="J41" s="23">
        <v>10444.77</v>
      </c>
      <c r="K41" s="23">
        <v>10594.65</v>
      </c>
      <c r="L41" s="23"/>
      <c r="M41" s="23"/>
      <c r="N41" s="23"/>
      <c r="O41" s="23">
        <v>11014.764146850001</v>
      </c>
      <c r="P41" s="23">
        <v>11519.971539550001</v>
      </c>
      <c r="Q41" s="23">
        <v>11958.900954860001</v>
      </c>
      <c r="R41" s="23"/>
      <c r="S41" s="25"/>
    </row>
    <row r="42" spans="1:19" s="5" customFormat="1" ht="12.75" x14ac:dyDescent="0.2">
      <c r="A42" s="6" t="s">
        <v>38</v>
      </c>
      <c r="B42" s="3"/>
      <c r="C42" s="23">
        <v>10191.778400699401</v>
      </c>
      <c r="D42" s="23">
        <v>9979.0409310965006</v>
      </c>
      <c r="E42" s="23">
        <v>10107.743500795001</v>
      </c>
      <c r="F42" s="23">
        <v>10272.716739314999</v>
      </c>
      <c r="G42" s="19">
        <v>-0.12754539561637443</v>
      </c>
      <c r="H42" s="23">
        <v>10356.528526902801</v>
      </c>
      <c r="I42" s="23">
        <v>10485.984398626</v>
      </c>
      <c r="J42" s="23">
        <v>10587.988267741101</v>
      </c>
      <c r="K42" s="23">
        <v>10689.043414035699</v>
      </c>
      <c r="L42" s="23"/>
      <c r="M42" s="23"/>
      <c r="N42" s="23"/>
      <c r="O42" s="23">
        <v>10849.2129762356</v>
      </c>
      <c r="P42" s="23">
        <v>11110.3601353703</v>
      </c>
      <c r="Q42" s="23"/>
      <c r="R42" s="23">
        <v>11599.696494895001</v>
      </c>
      <c r="S42" s="25"/>
    </row>
    <row r="43" spans="1:19" s="5" customFormat="1" ht="12.75" x14ac:dyDescent="0.2">
      <c r="A43" s="6" t="s">
        <v>39</v>
      </c>
      <c r="B43" s="3"/>
      <c r="C43" s="23">
        <v>10890</v>
      </c>
      <c r="D43" s="23">
        <v>10780</v>
      </c>
      <c r="E43" s="23">
        <v>10340</v>
      </c>
      <c r="F43" s="23">
        <v>10230</v>
      </c>
      <c r="G43" s="19">
        <v>-0.13117329822922416</v>
      </c>
      <c r="H43" s="23">
        <v>10340</v>
      </c>
      <c r="I43" s="23">
        <v>10340</v>
      </c>
      <c r="J43" s="23">
        <v>10340</v>
      </c>
      <c r="K43" s="23">
        <v>10340</v>
      </c>
      <c r="L43" s="23"/>
      <c r="M43" s="23"/>
      <c r="N43" s="23"/>
      <c r="O43" s="23" t="s">
        <v>16</v>
      </c>
      <c r="P43" s="23"/>
      <c r="Q43" s="23"/>
      <c r="R43" s="23"/>
      <c r="S43" s="25"/>
    </row>
    <row r="44" spans="1:19" s="5" customFormat="1" ht="12.75" x14ac:dyDescent="0.2">
      <c r="A44" s="6" t="s">
        <v>40</v>
      </c>
      <c r="B44" s="3"/>
      <c r="C44" s="23">
        <v>10140</v>
      </c>
      <c r="D44" s="23">
        <v>9876.36</v>
      </c>
      <c r="E44" s="23">
        <v>9998.0400000000009</v>
      </c>
      <c r="F44" s="23">
        <v>10210.98</v>
      </c>
      <c r="G44" s="19">
        <v>-0.13278865344600624</v>
      </c>
      <c r="H44" s="23">
        <v>10243.200000000001</v>
      </c>
      <c r="I44" s="23">
        <v>10400</v>
      </c>
      <c r="J44" s="23">
        <v>10160</v>
      </c>
      <c r="K44" s="23">
        <v>10000</v>
      </c>
      <c r="L44" s="23"/>
      <c r="M44" s="23"/>
      <c r="N44" s="23"/>
      <c r="O44" s="23">
        <v>10300</v>
      </c>
      <c r="P44" s="23">
        <v>10900</v>
      </c>
      <c r="Q44" s="23">
        <v>11600</v>
      </c>
      <c r="R44" s="23">
        <v>10500</v>
      </c>
      <c r="S44" s="25">
        <v>8000</v>
      </c>
    </row>
    <row r="45" spans="1:19" s="5" customFormat="1" ht="12.75" x14ac:dyDescent="0.2">
      <c r="A45" s="6" t="s">
        <v>41</v>
      </c>
      <c r="B45" s="3"/>
      <c r="C45" s="23">
        <v>11200</v>
      </c>
      <c r="D45" s="23">
        <v>11000</v>
      </c>
      <c r="E45" s="23">
        <v>10000</v>
      </c>
      <c r="F45" s="23">
        <v>10200</v>
      </c>
      <c r="G45" s="19">
        <v>-0.13372117712004755</v>
      </c>
      <c r="H45" s="23" t="s">
        <v>16</v>
      </c>
      <c r="I45" s="23" t="s">
        <v>16</v>
      </c>
      <c r="J45" s="23" t="s">
        <v>16</v>
      </c>
      <c r="K45" s="23" t="s">
        <v>16</v>
      </c>
      <c r="L45" s="23"/>
      <c r="M45" s="23"/>
      <c r="N45" s="23"/>
      <c r="O45" s="23">
        <v>10706</v>
      </c>
      <c r="P45" s="23"/>
      <c r="Q45" s="23"/>
      <c r="R45" s="23"/>
      <c r="S45" s="25"/>
    </row>
    <row r="46" spans="1:19" s="5" customFormat="1" ht="12.75" x14ac:dyDescent="0.2">
      <c r="A46" s="6" t="s">
        <v>42</v>
      </c>
      <c r="B46" s="3"/>
      <c r="C46" s="23">
        <v>10074.7138467645</v>
      </c>
      <c r="D46" s="23">
        <v>9961.7360101958602</v>
      </c>
      <c r="E46" s="23">
        <v>10006.0595080889</v>
      </c>
      <c r="F46" s="23">
        <v>10047.4906349507</v>
      </c>
      <c r="G46" s="19">
        <v>-0.14667369018211387</v>
      </c>
      <c r="H46" s="23">
        <v>10083.2086765367</v>
      </c>
      <c r="I46" s="23">
        <v>10113.830827781099</v>
      </c>
      <c r="J46" s="23">
        <v>10167.311075622199</v>
      </c>
      <c r="K46" s="23">
        <v>10243.649420059901</v>
      </c>
      <c r="L46" s="23"/>
      <c r="M46" s="23"/>
      <c r="N46" s="23"/>
      <c r="O46" s="23">
        <v>10481.9279928041</v>
      </c>
      <c r="P46" s="23">
        <v>10833.950364382899</v>
      </c>
      <c r="Q46" s="23">
        <v>11123.545579961499</v>
      </c>
      <c r="R46" s="23"/>
      <c r="S46" s="25"/>
    </row>
    <row r="47" spans="1:19" s="5" customFormat="1" ht="12.75" x14ac:dyDescent="0.2">
      <c r="A47" s="6" t="s">
        <v>43</v>
      </c>
      <c r="B47" s="3"/>
      <c r="C47" s="23">
        <v>9920.7000000000007</v>
      </c>
      <c r="D47" s="23">
        <v>9920.7000000000007</v>
      </c>
      <c r="E47" s="23">
        <v>9920.7000000000007</v>
      </c>
      <c r="F47" s="23">
        <v>9920.7000000000007</v>
      </c>
      <c r="G47" s="19">
        <v>-0.15744192959361325</v>
      </c>
      <c r="H47" s="23">
        <v>11023</v>
      </c>
      <c r="I47" s="23">
        <v>11023</v>
      </c>
      <c r="J47" s="23">
        <v>11023</v>
      </c>
      <c r="K47" s="23" t="s">
        <v>16</v>
      </c>
      <c r="L47" s="23"/>
      <c r="M47" s="23"/>
      <c r="N47" s="23"/>
      <c r="O47" s="23">
        <v>11023</v>
      </c>
      <c r="P47" s="23">
        <v>11023</v>
      </c>
      <c r="Q47" s="23"/>
      <c r="R47" s="23"/>
      <c r="S47" s="25">
        <v>8818.4</v>
      </c>
    </row>
    <row r="48" spans="1:19" s="5" customFormat="1" ht="12.75" x14ac:dyDescent="0.2">
      <c r="A48" s="6" t="s">
        <v>44</v>
      </c>
      <c r="B48" s="3"/>
      <c r="C48" s="23">
        <v>9000</v>
      </c>
      <c r="D48" s="23">
        <v>8400</v>
      </c>
      <c r="E48" s="23">
        <v>7800</v>
      </c>
      <c r="F48" s="23">
        <v>7200</v>
      </c>
      <c r="G48" s="19">
        <v>-0.38850906620238651</v>
      </c>
      <c r="H48" s="23">
        <v>7000</v>
      </c>
      <c r="I48" s="23">
        <v>6800</v>
      </c>
      <c r="J48" s="23">
        <v>6820</v>
      </c>
      <c r="K48" s="23">
        <v>6820</v>
      </c>
      <c r="L48" s="23"/>
      <c r="M48" s="23"/>
      <c r="N48" s="23"/>
      <c r="O48" s="23">
        <v>6920</v>
      </c>
      <c r="P48" s="23">
        <v>6950</v>
      </c>
      <c r="Q48" s="23">
        <v>7108.5450000000101</v>
      </c>
      <c r="R48" s="23">
        <v>7055.5800000000099</v>
      </c>
      <c r="S48" s="5">
        <v>6420</v>
      </c>
    </row>
    <row r="49" spans="1:18" s="5" customFormat="1" ht="12.75" x14ac:dyDescent="0.2">
      <c r="A49" s="6"/>
      <c r="B49" s="3"/>
      <c r="C49" s="23"/>
      <c r="D49" s="23"/>
      <c r="E49" s="23"/>
      <c r="F49" s="23"/>
      <c r="G49" s="19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s="5" customFormat="1" ht="12.75" x14ac:dyDescent="0.2">
      <c r="A50" s="6"/>
      <c r="B50" s="3"/>
      <c r="C50" s="23"/>
      <c r="D50" s="23"/>
      <c r="E50" s="23"/>
      <c r="F50" s="23"/>
      <c r="G50" s="19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s="5" customFormat="1" ht="12.75" x14ac:dyDescent="0.2">
      <c r="A51" s="6"/>
      <c r="B51" s="3"/>
      <c r="C51" s="23"/>
      <c r="D51" s="23"/>
      <c r="E51" s="23"/>
      <c r="F51" s="23"/>
      <c r="G51" s="19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s="5" customFormat="1" ht="12.75" x14ac:dyDescent="0.2">
      <c r="A52" s="6"/>
      <c r="B52" s="3"/>
      <c r="C52" s="23"/>
      <c r="D52" s="23"/>
      <c r="E52" s="23"/>
      <c r="F52" s="23"/>
      <c r="G52" s="19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s="5" customFormat="1" ht="12.75" x14ac:dyDescent="0.2">
      <c r="A53" s="6"/>
      <c r="B53" s="3"/>
      <c r="C53" s="23"/>
      <c r="D53" s="23"/>
      <c r="E53" s="23"/>
      <c r="F53" s="23"/>
      <c r="G53" s="19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s="5" customFormat="1" ht="12.75" x14ac:dyDescent="0.2">
      <c r="A54" s="6"/>
      <c r="B54" s="3"/>
      <c r="C54" s="23"/>
      <c r="D54" s="23"/>
      <c r="E54" s="23"/>
      <c r="F54" s="23"/>
      <c r="G54" s="19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s="5" customFormat="1" ht="12.75" x14ac:dyDescent="0.2">
      <c r="A55" s="6"/>
      <c r="B55" s="3"/>
      <c r="C55" s="23"/>
      <c r="D55" s="23"/>
      <c r="E55" s="23"/>
      <c r="F55" s="23"/>
      <c r="G55" s="19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s="5" customFormat="1" ht="12.75" x14ac:dyDescent="0.2">
      <c r="A56" s="6"/>
      <c r="B56" s="3"/>
      <c r="C56" s="23"/>
      <c r="D56" s="23"/>
      <c r="E56" s="23"/>
      <c r="F56" s="23"/>
      <c r="G56" s="19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s="5" customFormat="1" ht="12.75" x14ac:dyDescent="0.2">
      <c r="A57" s="6"/>
      <c r="B57" s="3"/>
      <c r="C57" s="23"/>
      <c r="D57" s="23"/>
      <c r="E57" s="23"/>
      <c r="F57" s="23"/>
      <c r="G57" s="19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s="5" customFormat="1" ht="12.75" x14ac:dyDescent="0.2">
      <c r="A58" s="6"/>
      <c r="B58" s="3"/>
      <c r="C58" s="23"/>
      <c r="D58" s="23"/>
      <c r="E58" s="23"/>
      <c r="F58" s="23"/>
      <c r="G58" s="19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s="5" customFormat="1" ht="12.75" x14ac:dyDescent="0.2">
      <c r="A59" s="6"/>
      <c r="B59" s="3"/>
      <c r="C59" s="23"/>
      <c r="D59" s="23"/>
      <c r="E59" s="23"/>
      <c r="F59" s="23"/>
      <c r="G59" s="19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s="5" customFormat="1" ht="12.75" x14ac:dyDescent="0.2">
      <c r="A60" s="6"/>
      <c r="B60" s="3"/>
      <c r="C60" s="23"/>
      <c r="D60" s="23"/>
      <c r="E60" s="23"/>
      <c r="F60" s="23"/>
      <c r="G60" s="19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s="5" customFormat="1" ht="12.75" x14ac:dyDescent="0.2">
      <c r="A61" s="6"/>
      <c r="B61" s="3"/>
      <c r="C61" s="23"/>
      <c r="D61" s="23"/>
      <c r="E61" s="23"/>
      <c r="F61" s="23"/>
      <c r="G61" s="19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s="5" customFormat="1" ht="12.75" x14ac:dyDescent="0.2">
      <c r="A62" s="6"/>
      <c r="B62" s="3"/>
      <c r="C62" s="23"/>
      <c r="D62" s="23"/>
      <c r="E62" s="23"/>
      <c r="F62" s="23"/>
      <c r="G62" s="19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s="5" customFormat="1" ht="12.75" x14ac:dyDescent="0.2">
      <c r="A63" s="6"/>
      <c r="B63" s="3"/>
      <c r="C63" s="23"/>
      <c r="D63" s="23"/>
      <c r="E63" s="23"/>
      <c r="F63" s="23"/>
      <c r="G63" s="19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spans="1:18" s="5" customFormat="1" ht="12.75" x14ac:dyDescent="0.2">
      <c r="A64" s="6"/>
      <c r="B64" s="3"/>
      <c r="C64" s="23"/>
      <c r="D64" s="23"/>
      <c r="E64" s="23"/>
      <c r="F64" s="23"/>
      <c r="G64" s="19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spans="1:18" s="5" customFormat="1" ht="12.75" x14ac:dyDescent="0.2">
      <c r="A65" s="6"/>
      <c r="B65" s="3"/>
      <c r="C65" s="23"/>
      <c r="D65" s="23"/>
      <c r="E65" s="23"/>
      <c r="F65" s="23"/>
      <c r="G65" s="19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1:18" s="5" customFormat="1" ht="12.75" x14ac:dyDescent="0.2">
      <c r="A66" s="6"/>
      <c r="B66" s="3"/>
      <c r="C66" s="23"/>
      <c r="D66" s="23"/>
      <c r="E66" s="23"/>
      <c r="F66" s="23"/>
      <c r="G66" s="19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s="5" customFormat="1" ht="12.75" x14ac:dyDescent="0.2">
      <c r="A67" s="6"/>
      <c r="B67" s="3"/>
      <c r="C67" s="23"/>
      <c r="D67" s="23"/>
      <c r="E67" s="23"/>
      <c r="F67" s="23"/>
      <c r="G67" s="19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s="5" customFormat="1" ht="12.75" x14ac:dyDescent="0.2">
      <c r="A68" s="6"/>
      <c r="B68" s="3"/>
      <c r="C68" s="23"/>
      <c r="D68" s="23"/>
      <c r="E68" s="23"/>
      <c r="F68" s="23"/>
      <c r="G68" s="19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s="5" customFormat="1" ht="12.75" x14ac:dyDescent="0.2">
      <c r="A69" s="6"/>
      <c r="B69" s="3"/>
      <c r="C69" s="23"/>
      <c r="D69" s="23"/>
      <c r="E69" s="23"/>
      <c r="F69" s="23"/>
      <c r="G69" s="19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s="5" customFormat="1" ht="12.75" x14ac:dyDescent="0.2">
      <c r="A70" s="6"/>
      <c r="B70" s="3"/>
      <c r="C70" s="23"/>
      <c r="D70" s="23"/>
      <c r="E70" s="23"/>
      <c r="F70" s="23"/>
      <c r="G70" s="19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s="5" customFormat="1" ht="12.75" x14ac:dyDescent="0.2">
      <c r="A71" s="6"/>
      <c r="B71" s="3"/>
      <c r="C71" s="23"/>
      <c r="D71" s="23"/>
      <c r="E71" s="23"/>
      <c r="F71" s="23"/>
      <c r="G71" s="19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s="5" customFormat="1" ht="12.75" x14ac:dyDescent="0.2">
      <c r="A72" s="6"/>
      <c r="B72" s="3"/>
      <c r="C72" s="23"/>
      <c r="D72" s="23"/>
      <c r="E72" s="23"/>
      <c r="F72" s="23"/>
      <c r="G72" s="19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s="5" customFormat="1" ht="12.75" x14ac:dyDescent="0.2">
      <c r="A73" s="6"/>
      <c r="B73" s="3"/>
      <c r="C73" s="23"/>
      <c r="D73" s="23"/>
      <c r="E73" s="23"/>
      <c r="F73" s="23"/>
      <c r="G73" s="19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s="5" customFormat="1" ht="12.75" x14ac:dyDescent="0.2">
      <c r="A74" s="6"/>
      <c r="B74" s="3"/>
      <c r="C74" s="23"/>
      <c r="D74" s="23"/>
      <c r="E74" s="23"/>
      <c r="F74" s="23"/>
      <c r="G74" s="19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s="5" customFormat="1" ht="12.75" x14ac:dyDescent="0.2">
      <c r="A75" s="6"/>
      <c r="B75" s="3"/>
      <c r="C75" s="23"/>
      <c r="D75" s="23"/>
      <c r="E75" s="23"/>
      <c r="F75" s="23"/>
      <c r="G75" s="19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s="5" customFormat="1" ht="12.75" x14ac:dyDescent="0.2">
      <c r="A76" s="6"/>
      <c r="B76" s="3"/>
      <c r="C76" s="23"/>
      <c r="D76" s="23"/>
      <c r="E76" s="23"/>
      <c r="F76" s="23"/>
      <c r="G76" s="19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s="5" customFormat="1" ht="12.75" x14ac:dyDescent="0.2">
      <c r="A77" s="6"/>
      <c r="B77" s="3"/>
      <c r="C77" s="23"/>
      <c r="D77" s="23"/>
      <c r="E77" s="23"/>
      <c r="F77" s="23"/>
      <c r="G77" s="19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s="5" customFormat="1" ht="12.75" x14ac:dyDescent="0.2">
      <c r="A78" s="6"/>
      <c r="B78" s="3"/>
      <c r="C78" s="23"/>
      <c r="D78" s="23"/>
      <c r="E78" s="23"/>
      <c r="F78" s="23"/>
      <c r="G78" s="19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s="5" customFormat="1" ht="12.75" x14ac:dyDescent="0.2">
      <c r="A79" s="6"/>
      <c r="B79" s="3"/>
      <c r="C79" s="23"/>
      <c r="D79" s="23"/>
      <c r="E79" s="23"/>
      <c r="F79" s="23"/>
      <c r="G79" s="19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s="5" customFormat="1" ht="12.75" x14ac:dyDescent="0.2">
      <c r="A80" s="6"/>
      <c r="B80" s="3"/>
      <c r="C80" s="23"/>
      <c r="D80" s="23"/>
      <c r="E80" s="23"/>
      <c r="F80" s="23"/>
      <c r="G80" s="19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s="5" customFormat="1" ht="12.75" x14ac:dyDescent="0.2">
      <c r="A81" s="6"/>
      <c r="B81" s="3"/>
      <c r="C81" s="23"/>
      <c r="D81" s="23"/>
      <c r="E81" s="23"/>
      <c r="F81" s="23"/>
      <c r="G81" s="19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s="5" customFormat="1" ht="12.75" x14ac:dyDescent="0.2">
      <c r="A82" s="6"/>
      <c r="B82" s="3"/>
      <c r="C82" s="23"/>
      <c r="D82" s="23"/>
      <c r="E82" s="23"/>
      <c r="F82" s="23"/>
      <c r="G82" s="19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s="5" customFormat="1" ht="12.75" x14ac:dyDescent="0.2">
      <c r="A83" s="6"/>
      <c r="B83" s="3"/>
      <c r="C83" s="23"/>
      <c r="D83" s="23"/>
      <c r="E83" s="23"/>
      <c r="F83" s="23"/>
      <c r="G83" s="19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s="5" customFormat="1" ht="12.75" x14ac:dyDescent="0.2">
      <c r="A84" s="6"/>
      <c r="B84" s="3"/>
      <c r="C84" s="23"/>
      <c r="D84" s="23"/>
      <c r="E84" s="23"/>
      <c r="F84" s="23"/>
      <c r="G84" s="19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s="5" customFormat="1" ht="12.75" x14ac:dyDescent="0.2">
      <c r="A85" s="6"/>
      <c r="B85" s="3"/>
      <c r="C85" s="23"/>
      <c r="D85" s="23"/>
      <c r="E85" s="23"/>
      <c r="F85" s="23"/>
      <c r="G85" s="19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s="5" customFormat="1" ht="12.75" x14ac:dyDescent="0.2">
      <c r="A86" s="6"/>
      <c r="B86" s="3"/>
      <c r="C86" s="23"/>
      <c r="D86" s="23"/>
      <c r="E86" s="23"/>
      <c r="F86" s="23"/>
      <c r="G86" s="19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s="5" customFormat="1" ht="12.75" x14ac:dyDescent="0.2">
      <c r="A87" s="6"/>
      <c r="B87" s="3"/>
      <c r="C87" s="23"/>
      <c r="D87" s="23"/>
      <c r="E87" s="23"/>
      <c r="F87" s="23"/>
      <c r="G87" s="19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s="5" customFormat="1" ht="12.75" x14ac:dyDescent="0.2">
      <c r="A88" s="6"/>
      <c r="B88" s="3"/>
      <c r="C88" s="23"/>
      <c r="D88" s="23"/>
      <c r="E88" s="23"/>
      <c r="F88" s="23"/>
      <c r="G88" s="19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s="5" customFormat="1" ht="12.75" x14ac:dyDescent="0.2">
      <c r="A89" s="6"/>
      <c r="B89" s="3"/>
      <c r="C89" s="23"/>
      <c r="D89" s="23"/>
      <c r="E89" s="23"/>
      <c r="F89" s="23"/>
      <c r="G89" s="19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s="5" customFormat="1" ht="12.75" x14ac:dyDescent="0.2">
      <c r="A90" s="6"/>
      <c r="B90" s="3"/>
      <c r="C90" s="23"/>
      <c r="D90" s="23"/>
      <c r="E90" s="23"/>
      <c r="F90" s="23"/>
      <c r="G90" s="19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s="5" customFormat="1" ht="12.75" x14ac:dyDescent="0.2">
      <c r="A91" s="6"/>
      <c r="B91" s="3"/>
      <c r="C91" s="23"/>
      <c r="D91" s="23"/>
      <c r="E91" s="23"/>
      <c r="F91" s="23"/>
      <c r="G91" s="19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s="5" customFormat="1" ht="12.75" x14ac:dyDescent="0.2">
      <c r="A92" s="6"/>
      <c r="B92" s="3"/>
      <c r="C92" s="23"/>
      <c r="D92" s="23"/>
      <c r="E92" s="23"/>
      <c r="F92" s="23"/>
      <c r="G92" s="19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s="5" customFormat="1" ht="12.75" x14ac:dyDescent="0.2">
      <c r="A93" s="6"/>
      <c r="B93" s="3"/>
      <c r="C93" s="23"/>
      <c r="D93" s="23"/>
      <c r="E93" s="23"/>
      <c r="F93" s="23"/>
      <c r="G93" s="19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s="5" customFormat="1" ht="12.75" x14ac:dyDescent="0.2">
      <c r="A94" s="6"/>
      <c r="B94" s="3"/>
      <c r="C94" s="23"/>
      <c r="D94" s="23"/>
      <c r="E94" s="23"/>
      <c r="F94" s="23"/>
      <c r="G94" s="19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s="5" customFormat="1" ht="12.75" x14ac:dyDescent="0.2">
      <c r="A95" s="6"/>
      <c r="B95" s="3"/>
      <c r="C95" s="23"/>
      <c r="D95" s="23"/>
      <c r="E95" s="23"/>
      <c r="F95" s="23"/>
      <c r="G95" s="19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s="5" customFormat="1" ht="12.75" x14ac:dyDescent="0.2">
      <c r="A96" s="6"/>
      <c r="B96" s="3"/>
      <c r="C96" s="23"/>
      <c r="D96" s="23"/>
      <c r="E96" s="23"/>
      <c r="F96" s="23"/>
      <c r="G96" s="19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s="5" customFormat="1" ht="12.75" x14ac:dyDescent="0.2">
      <c r="A97" s="6"/>
      <c r="B97" s="3"/>
      <c r="C97" s="23"/>
      <c r="D97" s="23"/>
      <c r="E97" s="23"/>
      <c r="F97" s="23"/>
      <c r="G97" s="19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s="5" customFormat="1" ht="12.75" x14ac:dyDescent="0.2">
      <c r="A98" s="6"/>
      <c r="B98" s="3"/>
      <c r="C98" s="23"/>
      <c r="D98" s="23"/>
      <c r="E98" s="23"/>
      <c r="F98" s="23"/>
      <c r="G98" s="19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s="5" customFormat="1" ht="12.75" x14ac:dyDescent="0.2">
      <c r="A99" s="6"/>
      <c r="B99" s="3"/>
      <c r="C99" s="23"/>
      <c r="D99" s="23"/>
      <c r="E99" s="23"/>
      <c r="F99" s="23"/>
      <c r="G99" s="19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s="5" customFormat="1" ht="12.75" x14ac:dyDescent="0.2">
      <c r="A100" s="6"/>
      <c r="B100" s="3"/>
      <c r="C100" s="23"/>
      <c r="D100" s="23"/>
      <c r="E100" s="23"/>
      <c r="F100" s="23"/>
      <c r="G100" s="19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AEC9-CECE-460F-9938-AAB5A67603C1}">
  <dimension ref="A1:W100"/>
  <sheetViews>
    <sheetView workbookViewId="0">
      <selection activeCell="T7" sqref="T7:W10"/>
    </sheetView>
  </sheetViews>
  <sheetFormatPr defaultRowHeight="15" x14ac:dyDescent="0.25"/>
  <cols>
    <col min="1" max="1" width="25.28515625" customWidth="1"/>
    <col min="2" max="2" width="15.85546875" customWidth="1"/>
    <col min="3" max="3" width="9.7109375" bestFit="1" customWidth="1"/>
    <col min="4" max="4" width="10.140625" bestFit="1" customWidth="1"/>
    <col min="5" max="5" width="9.42578125" bestFit="1" customWidth="1"/>
    <col min="6" max="6" width="9.85546875" bestFit="1" customWidth="1"/>
    <col min="7" max="7" width="10.85546875" bestFit="1" customWidth="1"/>
    <col min="8" max="8" width="9.85546875" bestFit="1" customWidth="1"/>
    <col min="9" max="9" width="10.140625" bestFit="1" customWidth="1"/>
    <col min="10" max="10" width="9.42578125" bestFit="1" customWidth="1"/>
    <col min="11" max="12" width="9.85546875" bestFit="1" customWidth="1"/>
    <col min="13" max="13" width="9.7109375" bestFit="1" customWidth="1"/>
    <col min="14" max="14" width="4.28515625" customWidth="1"/>
    <col min="15" max="17" width="10.7109375" customWidth="1"/>
    <col min="18" max="19" width="12.7109375" customWidth="1"/>
  </cols>
  <sheetData>
    <row r="1" spans="1:23" s="5" customFormat="1" ht="18" x14ac:dyDescent="0.25">
      <c r="A1" s="2" t="s">
        <v>45</v>
      </c>
      <c r="B1" s="3"/>
      <c r="C1"/>
      <c r="D1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3" s="5" customFormat="1" ht="12.75" x14ac:dyDescent="0.2">
      <c r="A2" s="6"/>
      <c r="B2" s="7" t="s">
        <v>1</v>
      </c>
      <c r="C2" s="3"/>
      <c r="D2" s="3"/>
      <c r="E2" s="3"/>
      <c r="F2" s="3"/>
      <c r="G2" s="4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3" s="5" customFormat="1" ht="12.75" x14ac:dyDescent="0.2">
      <c r="A3" s="8" t="s">
        <v>3</v>
      </c>
      <c r="B3" s="3"/>
      <c r="C3" s="3"/>
      <c r="D3" s="3"/>
      <c r="E3" s="3"/>
      <c r="F3" s="3"/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3" s="5" customFormat="1" ht="12.75" x14ac:dyDescent="0.2">
      <c r="A4" s="10">
        <f>'[1]Crude Oil'!A4</f>
        <v>46006</v>
      </c>
      <c r="B4" s="11" t="s">
        <v>4</v>
      </c>
      <c r="C4" s="12"/>
      <c r="D4" s="12"/>
      <c r="E4" s="12"/>
      <c r="F4" s="12"/>
      <c r="G4" s="9" t="str">
        <f>'[1]Crude Oil'!G4</f>
        <v>% change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1" t="s">
        <v>5</v>
      </c>
      <c r="S4" s="11" t="s">
        <v>5</v>
      </c>
    </row>
    <row r="5" spans="1:23" s="5" customFormat="1" ht="12.75" x14ac:dyDescent="0.2">
      <c r="A5" s="13" t="s">
        <v>6</v>
      </c>
      <c r="B5" s="14" t="s">
        <v>7</v>
      </c>
      <c r="C5" s="14">
        <f>'[1]Crude Oil'!C5</f>
        <v>46082</v>
      </c>
      <c r="D5" s="14">
        <f>'[1]Crude Oil'!D5</f>
        <v>46177</v>
      </c>
      <c r="E5" s="14">
        <f>'[1]Crude Oil'!E5</f>
        <v>46272</v>
      </c>
      <c r="F5" s="14">
        <f>'[1]Crude Oil'!F5</f>
        <v>46367</v>
      </c>
      <c r="G5" s="9" t="str">
        <f>'[1]Crude Oil'!G5</f>
        <v>from spot</v>
      </c>
      <c r="H5" s="14">
        <f>'[1]Crude Oil'!H5</f>
        <v>46462</v>
      </c>
      <c r="I5" s="14">
        <f>'[1]Crude Oil'!I5</f>
        <v>46557</v>
      </c>
      <c r="J5" s="14">
        <f>'[1]Crude Oil'!J5</f>
        <v>46652</v>
      </c>
      <c r="K5" s="14">
        <f>'[1]Crude Oil'!K5</f>
        <v>46747</v>
      </c>
      <c r="L5" s="14"/>
      <c r="M5" s="14"/>
      <c r="N5" s="14"/>
      <c r="O5" s="15">
        <f>'[1]Crude Oil'!O5</f>
        <v>2028</v>
      </c>
      <c r="P5" s="15">
        <f>'[1]Crude Oil'!P5</f>
        <v>2029</v>
      </c>
      <c r="Q5" s="15">
        <f>'[1]Crude Oil'!Q5</f>
        <v>2030</v>
      </c>
      <c r="R5" s="14" t="str">
        <f>'[1]Crude Oil'!R5</f>
        <v>2031-2035</v>
      </c>
      <c r="S5" s="14" t="str">
        <f>'[1]Crude Oil'!S5</f>
        <v>2031-2035</v>
      </c>
    </row>
    <row r="6" spans="1:23" s="5" customFormat="1" ht="12.75" x14ac:dyDescent="0.2">
      <c r="A6" s="10">
        <f>'[1]Crude Oil'!$A$6</f>
        <v>46010</v>
      </c>
      <c r="B6" s="3"/>
      <c r="C6" s="3" t="s">
        <v>8</v>
      </c>
      <c r="D6" s="3"/>
      <c r="E6" s="3"/>
      <c r="F6" s="3"/>
      <c r="G6" s="4"/>
      <c r="H6" s="3" t="s">
        <v>8</v>
      </c>
      <c r="I6" s="3"/>
      <c r="J6" s="3"/>
      <c r="K6" s="3"/>
      <c r="L6" s="3"/>
      <c r="M6" s="3"/>
      <c r="N6" s="3"/>
      <c r="O6" s="3"/>
      <c r="P6" s="3"/>
      <c r="Q6" s="3"/>
      <c r="R6" s="3" t="s">
        <v>8</v>
      </c>
      <c r="S6" s="3" t="s">
        <v>9</v>
      </c>
    </row>
    <row r="7" spans="1:23" s="6" customFormat="1" ht="12.75" x14ac:dyDescent="0.2">
      <c r="A7" s="16" t="s">
        <v>10</v>
      </c>
      <c r="B7" s="17">
        <v>3127</v>
      </c>
      <c r="C7" s="1">
        <f>IF(COUNT(C20:C200)&lt;&gt;0, AVERAGE(C20:C200), "")</f>
        <v>2977.3688126489815</v>
      </c>
      <c r="D7" s="1">
        <f>IF(COUNT(D20:D200)&lt;&gt;0, AVERAGE(D20:D200), "")</f>
        <v>2909.6134924954749</v>
      </c>
      <c r="E7" s="1">
        <f>IF(COUNT(E20:E200)&lt;&gt;0, AVERAGE(E20:E200), "")</f>
        <v>2864.7094439573434</v>
      </c>
      <c r="F7" s="1">
        <f>IF(COUNT(F20:F200)&lt;&gt;0, AVERAGE(F20:F200), "")</f>
        <v>2847.614224074322</v>
      </c>
      <c r="G7" s="18">
        <f>AVERAGE(G20:G201)</f>
        <v>-8.9346266685538259E-2</v>
      </c>
      <c r="H7" s="1">
        <f>IF(COUNT(H20:H200)&lt;&gt;0, AVERAGE(H20:H200), "")</f>
        <v>2822.9674071942441</v>
      </c>
      <c r="I7" s="1">
        <f>IF(COUNT(I20:I200)&lt;&gt;0, AVERAGE(I20:I200), "")</f>
        <v>2829.3337589603734</v>
      </c>
      <c r="J7" s="1">
        <f>IF(COUNT(J20:J200)&lt;&gt;0, AVERAGE(J20:J200), "")</f>
        <v>2817.5013206919907</v>
      </c>
      <c r="K7" s="1">
        <f>IF(COUNT(K20:K200)&lt;&gt;0, AVERAGE(K20:K200), "")</f>
        <v>2829.088545563126</v>
      </c>
      <c r="L7" s="1">
        <f>AVERAGE(C7:F7)</f>
        <v>2899.8264932940301</v>
      </c>
      <c r="M7" s="1">
        <f>AVERAGE(H7:K7)</f>
        <v>2824.7227581024335</v>
      </c>
      <c r="N7" s="1"/>
      <c r="O7" s="1">
        <f>IF(COUNT(O20:O200)&lt;&gt;0, AVERAGE(O20:O200), "")</f>
        <v>2838.6573609375955</v>
      </c>
      <c r="P7" s="1">
        <f>IF(COUNT(P20:P200)&lt;&gt;0, AVERAGE(P20:P200), "")</f>
        <v>2889.6066364841085</v>
      </c>
      <c r="Q7" s="1">
        <f>IF(COUNT(Q20:Q200)&lt;&gt;0, AVERAGE(Q20:Q200), "")</f>
        <v>3015.6112885524458</v>
      </c>
      <c r="R7" s="1">
        <f>IF(COUNT(R20:R200)&lt;&gt;0, AVERAGE(R20:R200), "")</f>
        <v>3167.1496726446621</v>
      </c>
      <c r="S7" s="1">
        <f>IF(COUNT(S20:S200)&lt;&gt;0, AVERAGE(S20:S200), "")</f>
        <v>2725.3113601071882</v>
      </c>
      <c r="T7" s="1">
        <f>O7</f>
        <v>2838.6573609375955</v>
      </c>
      <c r="U7" s="1">
        <f t="shared" ref="U7:V7" si="0">P7</f>
        <v>2889.6066364841085</v>
      </c>
      <c r="V7" s="1">
        <f t="shared" si="0"/>
        <v>3015.6112885524458</v>
      </c>
      <c r="W7" s="1">
        <f>S7</f>
        <v>2725.3113601071882</v>
      </c>
    </row>
    <row r="8" spans="1:23" s="5" customFormat="1" ht="12.75" x14ac:dyDescent="0.2">
      <c r="A8" s="6"/>
      <c r="B8" s="3"/>
      <c r="C8" s="1"/>
      <c r="D8" s="1"/>
      <c r="E8" s="1"/>
      <c r="F8" s="1"/>
      <c r="G8" s="19"/>
      <c r="H8" s="1"/>
      <c r="I8" s="1"/>
      <c r="J8" s="1"/>
      <c r="K8" s="1"/>
      <c r="L8" s="20">
        <f>AVERAGE(C11:F11)</f>
        <v>185.67981978436865</v>
      </c>
      <c r="M8" s="20">
        <f>AVERAGE(H11:K11)</f>
        <v>251.53935949841971</v>
      </c>
      <c r="N8" s="20"/>
      <c r="O8" s="1"/>
      <c r="P8" s="1"/>
      <c r="Q8" s="1"/>
      <c r="R8" s="1"/>
      <c r="S8" s="1"/>
      <c r="T8" s="20">
        <f>O11</f>
        <v>259.84863670607479</v>
      </c>
      <c r="U8" s="20">
        <f t="shared" ref="U8:V8" si="1">P11</f>
        <v>294.95077867243788</v>
      </c>
      <c r="V8" s="20">
        <f t="shared" si="1"/>
        <v>308.97083690402542</v>
      </c>
      <c r="W8" s="20">
        <f>S11</f>
        <v>338.57238937159218</v>
      </c>
    </row>
    <row r="9" spans="1:23" s="5" customFormat="1" ht="12.75" x14ac:dyDescent="0.2">
      <c r="A9" s="6" t="s">
        <v>11</v>
      </c>
      <c r="B9" s="3"/>
      <c r="C9" s="20">
        <f>IF(COUNT(C20:C200)&lt;&gt;0, MAX(C20:C200), "")</f>
        <v>3300.1238531092499</v>
      </c>
      <c r="D9" s="20">
        <f>IF(COUNT(D20:D200)&lt;&gt;0, MAX(D20:D200), "")</f>
        <v>3294.9183788657201</v>
      </c>
      <c r="E9" s="20">
        <f>IF(COUNT(E20:E200)&lt;&gt;0, MAX(E20:E200), "")</f>
        <v>3289.7129046221899</v>
      </c>
      <c r="F9" s="20">
        <f>IF(COUNT(F20:F200)&lt;&gt;0, MAX(F20:F200), "")</f>
        <v>3342.0508238904099</v>
      </c>
      <c r="G9" s="21"/>
      <c r="H9" s="20">
        <f>IF(COUNT(H20:H200)&lt;&gt;0, MAX(H20:H200), "")</f>
        <v>3385.0360199640299</v>
      </c>
      <c r="I9" s="20">
        <f>IF(COUNT(I20:I200)&lt;&gt;0, MAX(I20:I200), "")</f>
        <v>3319.6611267227299</v>
      </c>
      <c r="J9" s="20">
        <f>IF(COUNT(J20:J200)&lt;&gt;0, MAX(J20:J200), "")</f>
        <v>3293.01490745912</v>
      </c>
      <c r="K9" s="20">
        <f>IF(COUNT(K20:K200)&lt;&gt;0, MAX(K20:K200), "")</f>
        <v>3440.96407611622</v>
      </c>
      <c r="L9" s="20">
        <f>L7+L8</f>
        <v>3085.5063130783988</v>
      </c>
      <c r="M9" s="20">
        <f>M7+M8</f>
        <v>3076.2621176008533</v>
      </c>
      <c r="N9" s="20"/>
      <c r="O9" s="20">
        <f>IF(COUNT(O20:O200)&lt;&gt;0, MAX(O20:O200), "")</f>
        <v>3467.3016996178198</v>
      </c>
      <c r="P9" s="20">
        <f>IF(COUNT(P20:P200)&lt;&gt;0, MAX(P20:P200), "")</f>
        <v>3623.1093805324299</v>
      </c>
      <c r="Q9" s="20">
        <f>IF(COUNT(Q20:Q200)&lt;&gt;0, MAX(Q20:Q200), "")</f>
        <v>3710.6719110507502</v>
      </c>
      <c r="R9" s="20">
        <f>IF(COUNT(R20:R200)&lt;&gt;0, MAX(R20:R200), "")</f>
        <v>3942.22539260028</v>
      </c>
      <c r="S9" s="20">
        <f>IF(COUNT(S20:S200)&lt;&gt;0, MAX(S20:S200), "")</f>
        <v>3284.1312501079201</v>
      </c>
      <c r="T9" s="24">
        <f>T8+T7</f>
        <v>3098.5059976436705</v>
      </c>
      <c r="U9" s="24">
        <f t="shared" ref="U9:W9" si="2">U8+U7</f>
        <v>3184.5574151565465</v>
      </c>
      <c r="V9" s="24">
        <f t="shared" si="2"/>
        <v>3324.5821254564712</v>
      </c>
      <c r="W9" s="24">
        <f t="shared" si="2"/>
        <v>3063.8837494787804</v>
      </c>
    </row>
    <row r="10" spans="1:23" s="5" customFormat="1" ht="12.75" x14ac:dyDescent="0.2">
      <c r="A10" s="6" t="s">
        <v>12</v>
      </c>
      <c r="B10" s="3"/>
      <c r="C10" s="20">
        <f>IF(COUNT(C20:C200)&lt;&gt;0, MIN(C20:C200), "")</f>
        <v>2580</v>
      </c>
      <c r="D10" s="20">
        <f>IF(COUNT(D20:D200)&lt;&gt;0, MIN(D20:D200), "")</f>
        <v>2450</v>
      </c>
      <c r="E10" s="20">
        <f>IF(COUNT(E20:E200)&lt;&gt;0, MIN(E20:E200), "")</f>
        <v>2450</v>
      </c>
      <c r="F10" s="20">
        <f>IF(COUNT(F20:F200)&lt;&gt;0, MIN(F20:F200), "")</f>
        <v>2450</v>
      </c>
      <c r="G10" s="21"/>
      <c r="H10" s="20">
        <f>IF(COUNT(H20:H200)&lt;&gt;0, MIN(H20:H200), "")</f>
        <v>2400</v>
      </c>
      <c r="I10" s="20">
        <f>IF(COUNT(I20:I200)&lt;&gt;0, MIN(I20:I200), "")</f>
        <v>2400</v>
      </c>
      <c r="J10" s="20">
        <f>IF(COUNT(J20:J200)&lt;&gt;0, MIN(J20:J200), "")</f>
        <v>2400</v>
      </c>
      <c r="K10" s="20">
        <f>IF(COUNT(K20:K200)&lt;&gt;0, MIN(K20:K200), "")</f>
        <v>2400</v>
      </c>
      <c r="L10" s="20">
        <f>L7-L8</f>
        <v>2714.1466735096615</v>
      </c>
      <c r="M10" s="20">
        <f>M7-M8</f>
        <v>2573.1833986040137</v>
      </c>
      <c r="N10" s="20"/>
      <c r="O10" s="20">
        <f>IF(COUNT(O20:O200)&lt;&gt;0, MIN(O20:O200), "")</f>
        <v>2430</v>
      </c>
      <c r="P10" s="20">
        <f>IF(COUNT(P20:P200)&lt;&gt;0, MIN(P20:P200), "")</f>
        <v>2432.5</v>
      </c>
      <c r="Q10" s="20">
        <f>IF(COUNT(Q20:Q200)&lt;&gt;0, MIN(Q20:Q200), "")</f>
        <v>2480.2399999999998</v>
      </c>
      <c r="R10" s="20">
        <f>IF(COUNT(R20:R200)&lt;&gt;0, MIN(R20:R200), "")</f>
        <v>2461.7600000000002</v>
      </c>
      <c r="S10" s="20">
        <f>IF(COUNT(S20:S200)&lt;&gt;0, MIN(S20:S200), "")</f>
        <v>2137</v>
      </c>
      <c r="T10" s="24">
        <f>T7-T8</f>
        <v>2578.8087242315205</v>
      </c>
      <c r="U10" s="24">
        <f t="shared" ref="U10:W10" si="3">U7-U8</f>
        <v>2594.6558578116706</v>
      </c>
      <c r="V10" s="24">
        <f t="shared" si="3"/>
        <v>2706.6404516484204</v>
      </c>
      <c r="W10" s="24">
        <f t="shared" si="3"/>
        <v>2386.738970735596</v>
      </c>
    </row>
    <row r="11" spans="1:23" s="5" customFormat="1" ht="12.75" x14ac:dyDescent="0.2">
      <c r="A11" s="6" t="s">
        <v>13</v>
      </c>
      <c r="B11" s="3"/>
      <c r="C11" s="20">
        <f>IF(COUNT(C20:C200)&gt;1, STDEV(C20:C200), "")</f>
        <v>181.34500658131503</v>
      </c>
      <c r="D11" s="20">
        <f>IF(COUNT(D20:D200)&gt;1, STDEV(D20:D200), "")</f>
        <v>193.25254244626328</v>
      </c>
      <c r="E11" s="20">
        <f>IF(COUNT(E20:E200)&gt;1, STDEV(E20:E200), "")</f>
        <v>175.87184617081834</v>
      </c>
      <c r="F11" s="20">
        <f>IF(COUNT(F20:F200)&gt;1, STDEV(F20:F200), "")</f>
        <v>192.24988393907785</v>
      </c>
      <c r="G11" s="21"/>
      <c r="H11" s="20">
        <f>IF(COUNT(H20:H200)&gt;1, STDEV(H20:H200), "")</f>
        <v>236.97609586237672</v>
      </c>
      <c r="I11" s="20">
        <f>IF(COUNT(I20:I200)&gt;1, STDEV(I20:I200), "")</f>
        <v>242.43936669772336</v>
      </c>
      <c r="J11" s="20">
        <f>IF(COUNT(J20:J200)&gt;1, STDEV(J20:J200), "")</f>
        <v>247.5639401106568</v>
      </c>
      <c r="K11" s="20">
        <f>IF(COUNT(K20:K200)&gt;1, STDEV(K20:K200), "")</f>
        <v>279.17803532292203</v>
      </c>
      <c r="L11" s="20"/>
      <c r="M11" s="20"/>
      <c r="N11" s="20"/>
      <c r="O11" s="20">
        <f>IF(COUNT(O20:O200)&gt;1, STDEV(O20:O200), "")</f>
        <v>259.84863670607479</v>
      </c>
      <c r="P11" s="20">
        <f>IF(COUNT(P20:P200)&gt;1, STDEV(P20:P200), "")</f>
        <v>294.95077867243788</v>
      </c>
      <c r="Q11" s="20">
        <f>IF(COUNT(Q20:Q200)&gt;1, STDEV(Q20:Q200), "")</f>
        <v>308.97083690402542</v>
      </c>
      <c r="R11" s="20">
        <f>IF(COUNT(R20:R200)&gt;1, STDEV(R20:R200), "")</f>
        <v>457.45673639836662</v>
      </c>
      <c r="S11" s="20">
        <f>IF(COUNT(S20:S200)&gt;1, STDEV(S20:S200), "")</f>
        <v>338.57238937159218</v>
      </c>
    </row>
    <row r="12" spans="1:23" s="5" customFormat="1" ht="12.75" x14ac:dyDescent="0.2">
      <c r="A12" s="6" t="s">
        <v>14</v>
      </c>
      <c r="B12" s="3"/>
      <c r="C12" s="20">
        <f>IF(COUNT(C20:C200)&lt;&gt;0, COUNT(C20:C200), "")</f>
        <v>26</v>
      </c>
      <c r="D12" s="20">
        <f>IF(COUNT(D20:D200)&lt;&gt;0, COUNT(D20:D200), "")</f>
        <v>26</v>
      </c>
      <c r="E12" s="20">
        <f>IF(COUNT(E20:E200)&lt;&gt;0, COUNT(E20:E200), "")</f>
        <v>26</v>
      </c>
      <c r="F12" s="20">
        <f>IF(COUNT(F20:F200)&lt;&gt;0, COUNT(F20:F200), "")</f>
        <v>26</v>
      </c>
      <c r="G12" s="22"/>
      <c r="H12" s="20">
        <f>IF(COUNT(H20:H200)&lt;&gt;0, COUNT(H20:H200), "")</f>
        <v>24</v>
      </c>
      <c r="I12" s="20">
        <f>IF(COUNT(I20:I200)&lt;&gt;0, COUNT(I20:I200), "")</f>
        <v>23</v>
      </c>
      <c r="J12" s="20">
        <f>IF(COUNT(J20:J200)&lt;&gt;0, COUNT(J20:J200), "")</f>
        <v>23</v>
      </c>
      <c r="K12" s="20">
        <f>IF(COUNT(K20:K200)&lt;&gt;0, COUNT(K20:K200), "")</f>
        <v>21</v>
      </c>
      <c r="L12" s="23"/>
      <c r="M12" s="23"/>
      <c r="N12" s="23"/>
      <c r="O12" s="20">
        <f>IF(COUNT(O20:O200)&lt;&gt;0, COUNT(O20:O200), "")</f>
        <v>16</v>
      </c>
      <c r="P12" s="20">
        <f>IF(COUNT(P20:P200)&lt;&gt;0, COUNT(P20:P200), "")</f>
        <v>16</v>
      </c>
      <c r="Q12" s="20">
        <f>IF(COUNT(Q20:Q200)&lt;&gt;0, COUNT(Q20:Q200), "")</f>
        <v>12</v>
      </c>
      <c r="R12" s="20">
        <f>IF(COUNT(R20:R200)&lt;&gt;0, COUNT(R20:R200), "")</f>
        <v>8</v>
      </c>
      <c r="S12" s="20">
        <f>IF(COUNT(S20:S200)&lt;&gt;0, COUNT(S20:S200), "")</f>
        <v>11</v>
      </c>
    </row>
    <row r="13" spans="1:23" s="5" customFormat="1" ht="12.75" x14ac:dyDescent="0.2">
      <c r="A13" s="6"/>
      <c r="B13" s="3"/>
      <c r="C13" s="12"/>
      <c r="D13" s="12"/>
      <c r="E13" s="12"/>
      <c r="F13" s="12"/>
      <c r="G13" s="1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23" s="5" customFormat="1" ht="12.75" x14ac:dyDescent="0.2">
      <c r="A14" s="6"/>
      <c r="B14" s="3"/>
      <c r="C14" s="20"/>
      <c r="D14" s="20"/>
      <c r="E14" s="20"/>
      <c r="F14" s="20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23" s="5" customFormat="1" ht="12.75" x14ac:dyDescent="0.2">
      <c r="A15" s="6"/>
      <c r="B15" s="3"/>
      <c r="C15" s="20"/>
      <c r="D15" s="20"/>
      <c r="E15" s="20"/>
      <c r="F15" s="20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23" s="5" customFormat="1" ht="12.75" x14ac:dyDescent="0.2">
      <c r="A16" s="6"/>
      <c r="B16" s="3"/>
      <c r="C16" s="20"/>
      <c r="D16" s="20"/>
      <c r="E16" s="20"/>
      <c r="F16" s="20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9" s="5" customFormat="1" ht="12.75" x14ac:dyDescent="0.2">
      <c r="A17" s="6"/>
      <c r="B17" s="3"/>
      <c r="C17" s="20"/>
      <c r="D17" s="20"/>
      <c r="E17" s="20"/>
      <c r="F17" s="20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9" s="5" customFormat="1" ht="12.75" x14ac:dyDescent="0.2">
      <c r="A18" s="6"/>
      <c r="B18" s="3"/>
      <c r="C18" s="20"/>
      <c r="D18" s="20"/>
      <c r="E18" s="20"/>
      <c r="F18" s="20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9" s="5" customFormat="1" ht="12.75" x14ac:dyDescent="0.2">
      <c r="A19" s="6"/>
      <c r="B19" s="3"/>
      <c r="C19" s="20"/>
      <c r="D19" s="20"/>
      <c r="E19" s="20"/>
      <c r="F19" s="20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9" s="5" customFormat="1" ht="12.75" x14ac:dyDescent="0.2">
      <c r="A20" s="8" t="s">
        <v>21</v>
      </c>
      <c r="B20" s="3"/>
      <c r="C20" s="20">
        <v>3286.4880610128298</v>
      </c>
      <c r="D20" s="20">
        <v>3227.2152295708102</v>
      </c>
      <c r="E20" s="20">
        <v>3211.5830148076502</v>
      </c>
      <c r="F20" s="20">
        <v>3342.0508238904099</v>
      </c>
      <c r="G20" s="19">
        <v>6.8772249405311764E-2</v>
      </c>
      <c r="H20" s="20">
        <v>3385.0360199640299</v>
      </c>
      <c r="I20" s="20">
        <v>3319.6611267227299</v>
      </c>
      <c r="J20" s="20">
        <v>3293.01490745912</v>
      </c>
      <c r="K20" s="20">
        <v>3440.96407611622</v>
      </c>
      <c r="L20" s="20"/>
      <c r="M20" s="20"/>
      <c r="N20" s="20"/>
      <c r="O20" s="20">
        <v>3467.3016996178198</v>
      </c>
      <c r="P20" s="20">
        <v>3623.1093805324299</v>
      </c>
      <c r="Q20" s="20">
        <v>3710.6719110507502</v>
      </c>
      <c r="R20" s="20">
        <v>3942.22539260028</v>
      </c>
      <c r="S20" s="24">
        <v>3284.1312501079201</v>
      </c>
    </row>
    <row r="21" spans="1:19" s="5" customFormat="1" ht="12.75" x14ac:dyDescent="0.2">
      <c r="A21" s="8" t="s">
        <v>23</v>
      </c>
      <c r="B21" s="3"/>
      <c r="C21" s="20">
        <v>3300.1238531092499</v>
      </c>
      <c r="D21" s="20">
        <v>3294.9183788657201</v>
      </c>
      <c r="E21" s="20">
        <v>3289.7129046221899</v>
      </c>
      <c r="F21" s="20">
        <v>3284.50743037866</v>
      </c>
      <c r="G21" s="19">
        <v>5.0370140831039349E-2</v>
      </c>
      <c r="H21" s="20">
        <v>3268.97668712519</v>
      </c>
      <c r="I21" s="20">
        <v>3248.28330936676</v>
      </c>
      <c r="J21" s="20">
        <v>3227.5899316083201</v>
      </c>
      <c r="K21" s="20">
        <v>3206.8965538498901</v>
      </c>
      <c r="L21" s="20"/>
      <c r="M21" s="20"/>
      <c r="N21" s="20"/>
      <c r="O21" s="20">
        <v>3183.7204579612298</v>
      </c>
      <c r="P21" s="20">
        <v>3166.6711497121501</v>
      </c>
      <c r="Q21" s="20">
        <v>3150.76820304274</v>
      </c>
      <c r="R21" s="20">
        <v>3496.6827183823402</v>
      </c>
      <c r="S21" s="24">
        <v>3167.05327023871</v>
      </c>
    </row>
    <row r="22" spans="1:19" s="5" customFormat="1" ht="12.75" x14ac:dyDescent="0.2">
      <c r="A22" s="8" t="s">
        <v>19</v>
      </c>
      <c r="B22" s="3"/>
      <c r="C22" s="20">
        <v>3000</v>
      </c>
      <c r="D22" s="20">
        <v>3000</v>
      </c>
      <c r="E22" s="20">
        <v>3000</v>
      </c>
      <c r="F22" s="20">
        <v>3100</v>
      </c>
      <c r="G22" s="19">
        <v>-8.634473936680525E-3</v>
      </c>
      <c r="H22" s="20">
        <v>3200</v>
      </c>
      <c r="I22" s="20">
        <v>3200</v>
      </c>
      <c r="J22" s="20">
        <v>3200</v>
      </c>
      <c r="K22" s="20">
        <v>3200</v>
      </c>
      <c r="L22" s="20"/>
      <c r="M22" s="20"/>
      <c r="N22" s="20"/>
      <c r="O22" s="20" t="s">
        <v>16</v>
      </c>
      <c r="P22" s="20"/>
      <c r="Q22" s="20"/>
      <c r="R22" s="20"/>
      <c r="S22" s="24"/>
    </row>
    <row r="23" spans="1:19" s="5" customFormat="1" ht="12.75" x14ac:dyDescent="0.2">
      <c r="A23" s="8" t="s">
        <v>46</v>
      </c>
      <c r="B23" s="3"/>
      <c r="C23" s="20">
        <v>3100</v>
      </c>
      <c r="D23" s="20">
        <v>3000</v>
      </c>
      <c r="E23" s="20">
        <v>2950</v>
      </c>
      <c r="F23" s="20">
        <v>3000</v>
      </c>
      <c r="G23" s="19">
        <v>-4.0614007035497279E-2</v>
      </c>
      <c r="H23" s="20">
        <v>3100</v>
      </c>
      <c r="I23" s="20">
        <v>3200</v>
      </c>
      <c r="J23" s="20">
        <v>3100</v>
      </c>
      <c r="K23" s="20">
        <v>3150</v>
      </c>
      <c r="L23" s="20"/>
      <c r="M23" s="20"/>
      <c r="N23" s="20"/>
      <c r="O23" s="20" t="s">
        <v>16</v>
      </c>
      <c r="P23" s="20"/>
      <c r="Q23" s="20"/>
      <c r="R23" s="20"/>
      <c r="S23" s="24"/>
    </row>
    <row r="24" spans="1:19" s="5" customFormat="1" ht="12.75" x14ac:dyDescent="0.2">
      <c r="A24" s="8" t="s">
        <v>29</v>
      </c>
      <c r="B24" s="3"/>
      <c r="C24" s="23">
        <v>2910.0720000000001</v>
      </c>
      <c r="D24" s="23">
        <v>2910.0720000000001</v>
      </c>
      <c r="E24" s="23">
        <v>2954.1640000000002</v>
      </c>
      <c r="F24" s="23">
        <v>2954.1640000000002</v>
      </c>
      <c r="G24" s="19">
        <v>-5.5272145826670865E-2</v>
      </c>
      <c r="H24" s="23">
        <v>2998.2559999999999</v>
      </c>
      <c r="I24" s="23">
        <v>2998.2559999999999</v>
      </c>
      <c r="J24" s="23">
        <v>2998.2559999999999</v>
      </c>
      <c r="K24" s="23" t="s">
        <v>16</v>
      </c>
      <c r="L24" s="23"/>
      <c r="M24" s="23"/>
      <c r="N24" s="23"/>
      <c r="O24" s="23">
        <v>3086.44</v>
      </c>
      <c r="P24" s="23">
        <v>3141.5549999999998</v>
      </c>
      <c r="Q24" s="23"/>
      <c r="R24" s="23">
        <v>3255.43059044139</v>
      </c>
      <c r="S24" s="25">
        <v>2843.9327820302601</v>
      </c>
    </row>
    <row r="25" spans="1:19" s="5" customFormat="1" ht="12.75" x14ac:dyDescent="0.2">
      <c r="A25" s="8" t="s">
        <v>30</v>
      </c>
      <c r="B25" s="3"/>
      <c r="C25" s="23">
        <v>3000</v>
      </c>
      <c r="D25" s="23">
        <v>2950</v>
      </c>
      <c r="E25" s="23">
        <v>2900</v>
      </c>
      <c r="F25" s="23">
        <v>2950</v>
      </c>
      <c r="G25" s="19">
        <v>-5.6603773584905662E-2</v>
      </c>
      <c r="H25" s="23" t="s">
        <v>16</v>
      </c>
      <c r="I25" s="23" t="s">
        <v>16</v>
      </c>
      <c r="J25" s="23" t="s">
        <v>16</v>
      </c>
      <c r="K25" s="23" t="s">
        <v>16</v>
      </c>
      <c r="L25" s="23"/>
      <c r="M25" s="23"/>
      <c r="N25" s="23"/>
      <c r="O25" s="23" t="s">
        <v>16</v>
      </c>
      <c r="P25" s="23"/>
      <c r="Q25" s="23"/>
      <c r="R25" s="23"/>
      <c r="S25" s="25"/>
    </row>
    <row r="26" spans="1:19" s="5" customFormat="1" ht="12.75" x14ac:dyDescent="0.2">
      <c r="A26" s="6" t="s">
        <v>24</v>
      </c>
      <c r="B26" s="3"/>
      <c r="C26" s="23">
        <v>3000.0272158214598</v>
      </c>
      <c r="D26" s="23">
        <v>2900.0263086274199</v>
      </c>
      <c r="E26" s="23">
        <v>2900.0263086274199</v>
      </c>
      <c r="F26" s="23">
        <v>2900.0263086274199</v>
      </c>
      <c r="G26" s="19">
        <v>-7.2585126758100443E-2</v>
      </c>
      <c r="H26" s="23">
        <v>2900.0263086274199</v>
      </c>
      <c r="I26" s="23">
        <v>2900.0263086274199</v>
      </c>
      <c r="J26" s="23">
        <v>2900.0263086274199</v>
      </c>
      <c r="K26" s="23">
        <v>2900.0263086274199</v>
      </c>
      <c r="L26" s="23"/>
      <c r="M26" s="23"/>
      <c r="N26" s="23"/>
      <c r="O26" s="23">
        <v>2900.0263086274199</v>
      </c>
      <c r="P26" s="23">
        <v>2900.0263086274199</v>
      </c>
      <c r="Q26" s="23">
        <v>3000.0272158214598</v>
      </c>
      <c r="R26" s="23">
        <v>3216.7882903293398</v>
      </c>
      <c r="S26" s="25">
        <v>2800.78765880218</v>
      </c>
    </row>
    <row r="27" spans="1:19" s="5" customFormat="1" ht="12.75" x14ac:dyDescent="0.2">
      <c r="A27" s="6" t="s">
        <v>37</v>
      </c>
      <c r="B27" s="3"/>
      <c r="C27" s="23">
        <v>3144.44217661933</v>
      </c>
      <c r="D27" s="23">
        <v>3050.1492116142399</v>
      </c>
      <c r="E27" s="23">
        <v>2948.6585483997401</v>
      </c>
      <c r="F27" s="23">
        <v>2882.20908833352</v>
      </c>
      <c r="G27" s="19">
        <v>-7.8282990619277279E-2</v>
      </c>
      <c r="H27" s="23">
        <v>2823.3078991849602</v>
      </c>
      <c r="I27" s="23">
        <v>2754.0726688753002</v>
      </c>
      <c r="J27" s="23">
        <v>2711.9005465801401</v>
      </c>
      <c r="K27" s="23">
        <v>2687.9132111363301</v>
      </c>
      <c r="L27" s="23"/>
      <c r="M27" s="23"/>
      <c r="N27" s="23"/>
      <c r="O27" s="23">
        <v>2676.0815987669998</v>
      </c>
      <c r="P27" s="23">
        <v>2694.5386217300002</v>
      </c>
      <c r="Q27" s="23">
        <v>2718.2975465919999</v>
      </c>
      <c r="R27" s="23"/>
      <c r="S27" s="25"/>
    </row>
    <row r="28" spans="1:19" s="5" customFormat="1" ht="12.75" x14ac:dyDescent="0.2">
      <c r="A28" s="6" t="s">
        <v>40</v>
      </c>
      <c r="B28" s="3"/>
      <c r="C28" s="23">
        <v>3000</v>
      </c>
      <c r="D28" s="23">
        <v>2970</v>
      </c>
      <c r="E28" s="23">
        <v>2853.1439999999998</v>
      </c>
      <c r="F28" s="23">
        <v>2881</v>
      </c>
      <c r="G28" s="19">
        <v>-7.8669651423089224E-2</v>
      </c>
      <c r="H28" s="23">
        <v>2850</v>
      </c>
      <c r="I28" s="23">
        <v>2976</v>
      </c>
      <c r="J28" s="23">
        <v>3045</v>
      </c>
      <c r="K28" s="23">
        <v>3050</v>
      </c>
      <c r="L28" s="23"/>
      <c r="M28" s="23"/>
      <c r="N28" s="23"/>
      <c r="O28" s="23">
        <v>3000</v>
      </c>
      <c r="P28" s="23">
        <v>3100</v>
      </c>
      <c r="Q28" s="23">
        <v>3300</v>
      </c>
      <c r="R28" s="23">
        <v>3200</v>
      </c>
      <c r="S28" s="25">
        <v>2800</v>
      </c>
    </row>
    <row r="29" spans="1:19" s="5" customFormat="1" ht="12.75" x14ac:dyDescent="0.2">
      <c r="A29" s="6" t="s">
        <v>34</v>
      </c>
      <c r="B29" s="3"/>
      <c r="C29" s="23">
        <v>2964.9703480726298</v>
      </c>
      <c r="D29" s="23">
        <v>2857.6325723649802</v>
      </c>
      <c r="E29" s="23">
        <v>2885.4950179641401</v>
      </c>
      <c r="F29" s="23">
        <v>2880.4358186746499</v>
      </c>
      <c r="G29" s="19">
        <v>-7.8850073976766896E-2</v>
      </c>
      <c r="H29" s="23">
        <v>2867.2557805937499</v>
      </c>
      <c r="I29" s="23">
        <v>2867.3743277396902</v>
      </c>
      <c r="J29" s="23">
        <v>2887.9396590708202</v>
      </c>
      <c r="K29" s="23">
        <v>2888.2052605108101</v>
      </c>
      <c r="L29" s="23"/>
      <c r="M29" s="23"/>
      <c r="N29" s="23"/>
      <c r="O29" s="23" t="s">
        <v>16</v>
      </c>
      <c r="P29" s="23"/>
      <c r="Q29" s="23"/>
      <c r="R29" s="23"/>
      <c r="S29" s="25"/>
    </row>
    <row r="30" spans="1:19" s="5" customFormat="1" ht="12.75" x14ac:dyDescent="0.2">
      <c r="A30" s="6" t="s">
        <v>22</v>
      </c>
      <c r="B30" s="3"/>
      <c r="C30" s="23">
        <v>3120</v>
      </c>
      <c r="D30" s="23">
        <v>3030</v>
      </c>
      <c r="E30" s="23">
        <v>2970</v>
      </c>
      <c r="F30" s="23">
        <v>2880</v>
      </c>
      <c r="G30" s="19">
        <v>-7.8989446754077389E-2</v>
      </c>
      <c r="H30" s="23">
        <v>2830</v>
      </c>
      <c r="I30" s="23">
        <v>2810</v>
      </c>
      <c r="J30" s="23">
        <v>2780</v>
      </c>
      <c r="K30" s="23">
        <v>2870</v>
      </c>
      <c r="L30" s="23"/>
      <c r="M30" s="23"/>
      <c r="N30" s="23"/>
      <c r="O30" s="23" t="s">
        <v>16</v>
      </c>
      <c r="P30" s="23"/>
      <c r="Q30" s="23"/>
      <c r="R30" s="23"/>
      <c r="S30" s="25"/>
    </row>
    <row r="31" spans="1:19" s="5" customFormat="1" ht="12.75" x14ac:dyDescent="0.2">
      <c r="A31" s="6" t="s">
        <v>18</v>
      </c>
      <c r="B31" s="3"/>
      <c r="C31" s="23">
        <v>3086.44</v>
      </c>
      <c r="D31" s="23">
        <v>2976.21</v>
      </c>
      <c r="E31" s="23">
        <v>2976.21</v>
      </c>
      <c r="F31" s="23">
        <v>2865.98</v>
      </c>
      <c r="G31" s="19">
        <v>-8.34729772945315E-2</v>
      </c>
      <c r="H31" s="23">
        <v>2865.98</v>
      </c>
      <c r="I31" s="23">
        <v>2865.98</v>
      </c>
      <c r="J31" s="23">
        <v>2865.98</v>
      </c>
      <c r="K31" s="23">
        <v>2865.98</v>
      </c>
      <c r="L31" s="23"/>
      <c r="M31" s="23"/>
      <c r="N31" s="23"/>
      <c r="O31" s="23">
        <v>2954.1640000000002</v>
      </c>
      <c r="P31" s="23">
        <v>2954.1640000000002</v>
      </c>
      <c r="Q31" s="23">
        <v>2954.1640000000002</v>
      </c>
      <c r="R31" s="23">
        <v>3087.31038940395</v>
      </c>
      <c r="S31" s="25">
        <v>2600</v>
      </c>
    </row>
    <row r="32" spans="1:19" s="5" customFormat="1" ht="12.75" x14ac:dyDescent="0.2">
      <c r="A32" s="6" t="s">
        <v>33</v>
      </c>
      <c r="B32" s="3"/>
      <c r="C32" s="23">
        <v>3195</v>
      </c>
      <c r="D32" s="23">
        <v>3085</v>
      </c>
      <c r="E32" s="23">
        <v>2975</v>
      </c>
      <c r="F32" s="23">
        <v>2860</v>
      </c>
      <c r="G32" s="19">
        <v>-8.5385353373840747E-2</v>
      </c>
      <c r="H32" s="23">
        <v>2765</v>
      </c>
      <c r="I32" s="23">
        <v>2690</v>
      </c>
      <c r="J32" s="23">
        <v>2615</v>
      </c>
      <c r="K32" s="23">
        <v>2540</v>
      </c>
      <c r="L32" s="23"/>
      <c r="M32" s="23"/>
      <c r="N32" s="23"/>
      <c r="O32" s="23" t="s">
        <v>16</v>
      </c>
      <c r="P32" s="23"/>
      <c r="Q32" s="23"/>
      <c r="R32" s="23"/>
      <c r="S32" s="25"/>
    </row>
    <row r="33" spans="1:19" s="5" customFormat="1" ht="12.75" x14ac:dyDescent="0.2">
      <c r="A33" s="6" t="s">
        <v>31</v>
      </c>
      <c r="B33" s="3"/>
      <c r="C33" s="23">
        <v>3039.44384425011</v>
      </c>
      <c r="D33" s="23">
        <v>2975.0506166976602</v>
      </c>
      <c r="E33" s="23">
        <v>2899.7847789602702</v>
      </c>
      <c r="F33" s="23">
        <v>2857.47344266664</v>
      </c>
      <c r="G33" s="19">
        <v>-8.6193334612523168E-2</v>
      </c>
      <c r="H33" s="23">
        <v>2865.24436841138</v>
      </c>
      <c r="I33" s="23">
        <v>2832.0750209387102</v>
      </c>
      <c r="J33" s="23">
        <v>2791.9760300385401</v>
      </c>
      <c r="K33" s="23">
        <v>2787.53444168952</v>
      </c>
      <c r="L33" s="23"/>
      <c r="M33" s="23"/>
      <c r="N33" s="23"/>
      <c r="O33" s="23" t="s">
        <v>16</v>
      </c>
      <c r="P33" s="23"/>
      <c r="Q33" s="23"/>
      <c r="R33" s="23"/>
      <c r="S33" s="25"/>
    </row>
    <row r="34" spans="1:19" s="5" customFormat="1" ht="12.75" x14ac:dyDescent="0.2">
      <c r="A34" s="6" t="s">
        <v>15</v>
      </c>
      <c r="B34" s="3"/>
      <c r="C34" s="23">
        <v>2900</v>
      </c>
      <c r="D34" s="23">
        <v>2900</v>
      </c>
      <c r="E34" s="23">
        <v>2800</v>
      </c>
      <c r="F34" s="23">
        <v>2800</v>
      </c>
      <c r="G34" s="19">
        <v>-0.10457307323313079</v>
      </c>
      <c r="H34" s="23" t="s">
        <v>16</v>
      </c>
      <c r="I34" s="23" t="s">
        <v>16</v>
      </c>
      <c r="J34" s="23" t="s">
        <v>16</v>
      </c>
      <c r="K34" s="23" t="s">
        <v>16</v>
      </c>
      <c r="L34" s="23"/>
      <c r="M34" s="23"/>
      <c r="N34" s="23"/>
      <c r="O34" s="23" t="s">
        <v>16</v>
      </c>
      <c r="P34" s="23"/>
      <c r="Q34" s="23"/>
      <c r="R34" s="23"/>
      <c r="S34" s="25"/>
    </row>
    <row r="35" spans="1:19" s="5" customFormat="1" ht="12.75" x14ac:dyDescent="0.2">
      <c r="A35" s="6" t="s">
        <v>36</v>
      </c>
      <c r="B35" s="3"/>
      <c r="C35" s="23">
        <v>3100</v>
      </c>
      <c r="D35" s="23">
        <v>3000</v>
      </c>
      <c r="E35" s="23">
        <v>2900</v>
      </c>
      <c r="F35" s="23">
        <v>2800</v>
      </c>
      <c r="G35" s="19">
        <v>-0.10457307323313079</v>
      </c>
      <c r="H35" s="23">
        <v>2700</v>
      </c>
      <c r="I35" s="23">
        <v>2500</v>
      </c>
      <c r="J35" s="23">
        <v>2400</v>
      </c>
      <c r="K35" s="23">
        <v>2400</v>
      </c>
      <c r="L35" s="23"/>
      <c r="M35" s="23"/>
      <c r="N35" s="23"/>
      <c r="O35" s="23">
        <v>2700</v>
      </c>
      <c r="P35" s="23">
        <v>3000</v>
      </c>
      <c r="Q35" s="23">
        <v>3132.5158685901101</v>
      </c>
      <c r="R35" s="23"/>
      <c r="S35" s="25">
        <v>2800</v>
      </c>
    </row>
    <row r="36" spans="1:19" s="5" customFormat="1" ht="12.75" x14ac:dyDescent="0.2">
      <c r="A36" s="6" t="s">
        <v>32</v>
      </c>
      <c r="B36" s="3"/>
      <c r="C36" s="23">
        <v>2975.2730000000001</v>
      </c>
      <c r="D36" s="23">
        <v>2868.4609999999998</v>
      </c>
      <c r="E36" s="23">
        <v>2803.3470000000002</v>
      </c>
      <c r="F36" s="23">
        <v>2763.9670000000001</v>
      </c>
      <c r="G36" s="19">
        <v>-0.11609625839462741</v>
      </c>
      <c r="H36" s="23">
        <v>2749.056</v>
      </c>
      <c r="I36" s="23">
        <v>2758.011</v>
      </c>
      <c r="J36" s="23">
        <v>2769.3980000000001</v>
      </c>
      <c r="K36" s="23">
        <v>2783.2440000000001</v>
      </c>
      <c r="L36" s="23"/>
      <c r="M36" s="23"/>
      <c r="N36" s="23"/>
      <c r="O36" s="23">
        <v>2818.2092499999999</v>
      </c>
      <c r="P36" s="23">
        <v>2874.9924999999998</v>
      </c>
      <c r="Q36" s="23">
        <v>2932.9214999999999</v>
      </c>
      <c r="R36" s="23"/>
      <c r="S36" s="25"/>
    </row>
    <row r="37" spans="1:19" s="5" customFormat="1" ht="12.75" x14ac:dyDescent="0.2">
      <c r="A37" s="6" t="s">
        <v>43</v>
      </c>
      <c r="B37" s="3"/>
      <c r="C37" s="23">
        <v>2755.75</v>
      </c>
      <c r="D37" s="23">
        <v>2755.75</v>
      </c>
      <c r="E37" s="23">
        <v>2755.75</v>
      </c>
      <c r="F37" s="23">
        <v>2755.75</v>
      </c>
      <c r="G37" s="19">
        <v>-0.11872401662935721</v>
      </c>
      <c r="H37" s="23">
        <v>2645.52</v>
      </c>
      <c r="I37" s="23">
        <v>2645.52</v>
      </c>
      <c r="J37" s="23">
        <v>2645.52</v>
      </c>
      <c r="K37" s="23" t="s">
        <v>16</v>
      </c>
      <c r="L37" s="23"/>
      <c r="M37" s="23"/>
      <c r="N37" s="23"/>
      <c r="O37" s="23">
        <v>2645.52</v>
      </c>
      <c r="P37" s="23">
        <v>2645.52</v>
      </c>
      <c r="Q37" s="23"/>
      <c r="R37" s="23"/>
      <c r="S37" s="25">
        <v>2645.52</v>
      </c>
    </row>
    <row r="38" spans="1:19" s="5" customFormat="1" ht="12.75" x14ac:dyDescent="0.2">
      <c r="A38" s="6" t="s">
        <v>42</v>
      </c>
      <c r="B38" s="3"/>
      <c r="C38" s="23">
        <v>2828.5586299879001</v>
      </c>
      <c r="D38" s="23">
        <v>2807.46548714151</v>
      </c>
      <c r="E38" s="23">
        <v>2779.56996950952</v>
      </c>
      <c r="F38" s="23">
        <v>2754.4059133610699</v>
      </c>
      <c r="G38" s="19">
        <v>-0.11915384926093063</v>
      </c>
      <c r="H38" s="23">
        <v>2749.5587087551298</v>
      </c>
      <c r="I38" s="23">
        <v>2740.4166938179801</v>
      </c>
      <c r="J38" s="23">
        <v>2750.9289925314301</v>
      </c>
      <c r="K38" s="23">
        <v>2781.0956048954599</v>
      </c>
      <c r="L38" s="23"/>
      <c r="M38" s="23"/>
      <c r="N38" s="23"/>
      <c r="O38" s="23">
        <v>2882.05446002806</v>
      </c>
      <c r="P38" s="23">
        <v>2984.0292231437402</v>
      </c>
      <c r="Q38" s="23">
        <v>3084.72921753229</v>
      </c>
      <c r="R38" s="23"/>
      <c r="S38" s="25"/>
    </row>
    <row r="39" spans="1:19" s="5" customFormat="1" ht="12.75" x14ac:dyDescent="0.2">
      <c r="A39" s="6" t="s">
        <v>17</v>
      </c>
      <c r="B39" s="3"/>
      <c r="C39" s="23">
        <v>3000</v>
      </c>
      <c r="D39" s="23">
        <v>3000</v>
      </c>
      <c r="E39" s="23">
        <v>2750</v>
      </c>
      <c r="F39" s="23">
        <v>2750</v>
      </c>
      <c r="G39" s="19">
        <v>-0.12056283978253918</v>
      </c>
      <c r="H39" s="23">
        <v>2500</v>
      </c>
      <c r="I39" s="23" t="s">
        <v>16</v>
      </c>
      <c r="J39" s="23" t="s">
        <v>16</v>
      </c>
      <c r="K39" s="23" t="s">
        <v>16</v>
      </c>
      <c r="L39" s="23"/>
      <c r="M39" s="23"/>
      <c r="N39" s="23"/>
      <c r="O39" s="23">
        <v>2672</v>
      </c>
      <c r="P39" s="23">
        <v>2812</v>
      </c>
      <c r="Q39" s="23">
        <v>2951</v>
      </c>
      <c r="R39" s="23"/>
      <c r="S39" s="25"/>
    </row>
    <row r="40" spans="1:19" s="5" customFormat="1" ht="12.75" x14ac:dyDescent="0.2">
      <c r="A40" s="6" t="s">
        <v>26</v>
      </c>
      <c r="B40" s="3"/>
      <c r="C40" s="23">
        <v>3100</v>
      </c>
      <c r="D40" s="23">
        <v>3000</v>
      </c>
      <c r="E40" s="23">
        <v>2900</v>
      </c>
      <c r="F40" s="23">
        <v>2725</v>
      </c>
      <c r="G40" s="19">
        <v>-0.12855772305724336</v>
      </c>
      <c r="H40" s="23">
        <v>2800</v>
      </c>
      <c r="I40" s="23">
        <v>2800</v>
      </c>
      <c r="J40" s="23">
        <v>2800</v>
      </c>
      <c r="K40" s="23">
        <v>2800</v>
      </c>
      <c r="L40" s="23"/>
      <c r="M40" s="23"/>
      <c r="N40" s="23"/>
      <c r="O40" s="23">
        <v>2800</v>
      </c>
      <c r="P40" s="23">
        <v>2800</v>
      </c>
      <c r="Q40" s="23"/>
      <c r="R40" s="23"/>
      <c r="S40" s="25">
        <v>2660</v>
      </c>
    </row>
    <row r="41" spans="1:19" s="5" customFormat="1" ht="12.75" x14ac:dyDescent="0.2">
      <c r="A41" s="6" t="s">
        <v>35</v>
      </c>
      <c r="B41" s="3"/>
      <c r="C41" s="23">
        <v>2580</v>
      </c>
      <c r="D41" s="23">
        <v>2450</v>
      </c>
      <c r="E41" s="23">
        <v>2670</v>
      </c>
      <c r="F41" s="23">
        <v>2700</v>
      </c>
      <c r="G41" s="19">
        <v>-0.13655260633194755</v>
      </c>
      <c r="H41" s="23">
        <v>2680</v>
      </c>
      <c r="I41" s="23">
        <v>2810</v>
      </c>
      <c r="J41" s="23">
        <v>2900</v>
      </c>
      <c r="K41" s="23">
        <v>3000</v>
      </c>
      <c r="L41" s="23"/>
      <c r="M41" s="23"/>
      <c r="N41" s="23"/>
      <c r="O41" s="23">
        <v>2600</v>
      </c>
      <c r="P41" s="23">
        <v>2486.6</v>
      </c>
      <c r="Q41" s="23"/>
      <c r="R41" s="23"/>
      <c r="S41" s="25"/>
    </row>
    <row r="42" spans="1:19" s="5" customFormat="1" ht="12.75" x14ac:dyDescent="0.2">
      <c r="A42" s="6" t="s">
        <v>28</v>
      </c>
      <c r="B42" s="3"/>
      <c r="C42" s="23">
        <v>2725</v>
      </c>
      <c r="D42" s="23">
        <v>2692</v>
      </c>
      <c r="E42" s="23">
        <v>2660</v>
      </c>
      <c r="F42" s="23">
        <v>2651</v>
      </c>
      <c r="G42" s="19">
        <v>-0.15222257755036778</v>
      </c>
      <c r="H42" s="23">
        <v>2558</v>
      </c>
      <c r="I42" s="23">
        <v>2559</v>
      </c>
      <c r="J42" s="23">
        <v>2520</v>
      </c>
      <c r="K42" s="23">
        <v>2509</v>
      </c>
      <c r="L42" s="23"/>
      <c r="M42" s="23"/>
      <c r="N42" s="23"/>
      <c r="O42" s="23">
        <v>2603</v>
      </c>
      <c r="P42" s="23">
        <v>2618</v>
      </c>
      <c r="Q42" s="23">
        <v>2772</v>
      </c>
      <c r="R42" s="23">
        <v>2677</v>
      </c>
      <c r="S42" s="25">
        <v>2137</v>
      </c>
    </row>
    <row r="43" spans="1:19" s="5" customFormat="1" ht="12.75" x14ac:dyDescent="0.2">
      <c r="A43" s="6" t="s">
        <v>20</v>
      </c>
      <c r="B43" s="3"/>
      <c r="C43" s="23">
        <v>2900</v>
      </c>
      <c r="D43" s="23">
        <v>2850</v>
      </c>
      <c r="E43" s="23">
        <v>2700</v>
      </c>
      <c r="F43" s="23">
        <v>2650</v>
      </c>
      <c r="G43" s="19">
        <v>-0.15254237288135594</v>
      </c>
      <c r="H43" s="23">
        <v>2650</v>
      </c>
      <c r="I43" s="23">
        <v>2600</v>
      </c>
      <c r="J43" s="23">
        <v>2600</v>
      </c>
      <c r="K43" s="23">
        <v>2550</v>
      </c>
      <c r="L43" s="23"/>
      <c r="M43" s="23"/>
      <c r="N43" s="23"/>
      <c r="O43" s="23" t="s">
        <v>16</v>
      </c>
      <c r="P43" s="23"/>
      <c r="Q43" s="23"/>
      <c r="R43" s="23"/>
      <c r="S43" s="25"/>
    </row>
    <row r="44" spans="1:19" s="5" customFormat="1" ht="12.75" x14ac:dyDescent="0.2">
      <c r="A44" s="6" t="s">
        <v>25</v>
      </c>
      <c r="B44" s="3"/>
      <c r="C44" s="23">
        <v>2700</v>
      </c>
      <c r="D44" s="23">
        <v>2600</v>
      </c>
      <c r="E44" s="23">
        <v>2600</v>
      </c>
      <c r="F44" s="23">
        <v>2600</v>
      </c>
      <c r="G44" s="19">
        <v>-0.16853213943076431</v>
      </c>
      <c r="H44" s="23">
        <v>2600</v>
      </c>
      <c r="I44" s="23">
        <v>2600</v>
      </c>
      <c r="J44" s="23">
        <v>2600</v>
      </c>
      <c r="K44" s="23">
        <v>2600</v>
      </c>
      <c r="L44" s="23"/>
      <c r="M44" s="23"/>
      <c r="N44" s="23"/>
      <c r="O44" s="23" t="s">
        <v>16</v>
      </c>
      <c r="P44" s="23"/>
      <c r="Q44" s="23"/>
      <c r="R44" s="23"/>
      <c r="S44" s="25"/>
    </row>
    <row r="45" spans="1:19" s="5" customFormat="1" ht="12.75" x14ac:dyDescent="0.2">
      <c r="A45" s="6" t="s">
        <v>44</v>
      </c>
      <c r="B45" s="3"/>
      <c r="C45" s="23">
        <v>2700</v>
      </c>
      <c r="D45" s="23">
        <v>2500</v>
      </c>
      <c r="E45" s="23">
        <v>2450</v>
      </c>
      <c r="F45" s="23">
        <v>2450</v>
      </c>
      <c r="G45" s="19">
        <v>-0.21650143907898944</v>
      </c>
      <c r="H45" s="23">
        <v>2400</v>
      </c>
      <c r="I45" s="23">
        <v>2400</v>
      </c>
      <c r="J45" s="23">
        <v>2400</v>
      </c>
      <c r="K45" s="23">
        <v>2400</v>
      </c>
      <c r="L45" s="23"/>
      <c r="M45" s="23"/>
      <c r="N45" s="23"/>
      <c r="O45" s="23">
        <v>2430</v>
      </c>
      <c r="P45" s="23">
        <v>2432.5</v>
      </c>
      <c r="Q45" s="23">
        <v>2480.2399999999998</v>
      </c>
      <c r="R45" s="23">
        <v>2461.7600000000002</v>
      </c>
      <c r="S45" s="25">
        <v>2240</v>
      </c>
    </row>
    <row r="46" spans="1:19" s="5" customFormat="1" ht="12.75" x14ac:dyDescent="0.2">
      <c r="A46" s="6"/>
      <c r="B46" s="3"/>
      <c r="C46" s="23"/>
      <c r="D46" s="23"/>
      <c r="E46" s="23"/>
      <c r="F46" s="23"/>
      <c r="G46" s="19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5"/>
    </row>
    <row r="47" spans="1:19" s="5" customFormat="1" ht="12.75" x14ac:dyDescent="0.2">
      <c r="A47" s="6"/>
      <c r="B47" s="3"/>
      <c r="C47" s="23"/>
      <c r="D47" s="23"/>
      <c r="E47" s="23"/>
      <c r="F47" s="23"/>
      <c r="G47" s="19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5"/>
    </row>
    <row r="48" spans="1:19" s="5" customFormat="1" ht="12.75" x14ac:dyDescent="0.2">
      <c r="A48" s="6"/>
      <c r="B48" s="3"/>
      <c r="C48" s="23"/>
      <c r="D48" s="23"/>
      <c r="E48" s="23"/>
      <c r="F48" s="23"/>
      <c r="G48" s="19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s="5" customFormat="1" ht="12.75" x14ac:dyDescent="0.2">
      <c r="A49" s="6"/>
      <c r="B49" s="3"/>
      <c r="C49" s="23"/>
      <c r="D49" s="23"/>
      <c r="E49" s="23"/>
      <c r="F49" s="23"/>
      <c r="G49" s="19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s="5" customFormat="1" ht="12.75" x14ac:dyDescent="0.2">
      <c r="A50" s="6"/>
      <c r="B50" s="3"/>
      <c r="C50" s="23"/>
      <c r="D50" s="23"/>
      <c r="E50" s="23"/>
      <c r="F50" s="23"/>
      <c r="G50" s="19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s="5" customFormat="1" ht="12.75" x14ac:dyDescent="0.2">
      <c r="A51" s="6"/>
      <c r="B51" s="3"/>
      <c r="C51" s="23"/>
      <c r="D51" s="23"/>
      <c r="E51" s="23"/>
      <c r="F51" s="23"/>
      <c r="G51" s="19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s="5" customFormat="1" ht="12.75" x14ac:dyDescent="0.2">
      <c r="A52" s="6"/>
      <c r="B52" s="3"/>
      <c r="C52" s="23"/>
      <c r="D52" s="23"/>
      <c r="E52" s="23"/>
      <c r="F52" s="23"/>
      <c r="G52" s="19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s="5" customFormat="1" ht="12.75" x14ac:dyDescent="0.2">
      <c r="A53" s="6"/>
      <c r="B53" s="3"/>
      <c r="C53" s="23"/>
      <c r="D53" s="23"/>
      <c r="E53" s="23"/>
      <c r="F53" s="23"/>
      <c r="G53" s="19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s="5" customFormat="1" ht="12.75" x14ac:dyDescent="0.2">
      <c r="A54" s="6"/>
      <c r="B54" s="3"/>
      <c r="C54" s="23"/>
      <c r="D54" s="23"/>
      <c r="E54" s="23"/>
      <c r="F54" s="23"/>
      <c r="G54" s="19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s="5" customFormat="1" ht="12.75" x14ac:dyDescent="0.2">
      <c r="A55" s="6"/>
      <c r="B55" s="3"/>
      <c r="C55" s="23"/>
      <c r="D55" s="23"/>
      <c r="E55" s="23"/>
      <c r="F55" s="23"/>
      <c r="G55" s="19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s="5" customFormat="1" ht="12.75" x14ac:dyDescent="0.2">
      <c r="A56" s="6"/>
      <c r="B56" s="3"/>
      <c r="C56" s="23"/>
      <c r="D56" s="23"/>
      <c r="E56" s="23"/>
      <c r="F56" s="23"/>
      <c r="G56" s="19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s="5" customFormat="1" ht="12.75" x14ac:dyDescent="0.2">
      <c r="A57" s="6"/>
      <c r="B57" s="3"/>
      <c r="C57" s="23"/>
      <c r="D57" s="23"/>
      <c r="E57" s="23"/>
      <c r="F57" s="23"/>
      <c r="G57" s="19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s="5" customFormat="1" ht="12.75" x14ac:dyDescent="0.2">
      <c r="A58" s="6"/>
      <c r="B58" s="3"/>
      <c r="C58" s="23"/>
      <c r="D58" s="23"/>
      <c r="E58" s="23"/>
      <c r="F58" s="23"/>
      <c r="G58" s="19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s="5" customFormat="1" ht="12.75" x14ac:dyDescent="0.2">
      <c r="A59" s="6"/>
      <c r="B59" s="3"/>
      <c r="C59" s="23"/>
      <c r="D59" s="23"/>
      <c r="E59" s="23"/>
      <c r="F59" s="23"/>
      <c r="G59" s="19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s="5" customFormat="1" ht="12.75" x14ac:dyDescent="0.2">
      <c r="A60" s="6"/>
      <c r="B60" s="3"/>
      <c r="C60" s="23"/>
      <c r="D60" s="23"/>
      <c r="E60" s="23"/>
      <c r="F60" s="23"/>
      <c r="G60" s="19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s="5" customFormat="1" ht="12.75" x14ac:dyDescent="0.2">
      <c r="A61" s="6"/>
      <c r="B61" s="3"/>
      <c r="C61" s="23"/>
      <c r="D61" s="23"/>
      <c r="E61" s="23"/>
      <c r="F61" s="23"/>
      <c r="G61" s="19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s="5" customFormat="1" ht="12.75" x14ac:dyDescent="0.2">
      <c r="A62" s="6"/>
      <c r="B62" s="3"/>
      <c r="C62" s="23"/>
      <c r="D62" s="23"/>
      <c r="E62" s="23"/>
      <c r="F62" s="23"/>
      <c r="G62" s="19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s="5" customFormat="1" ht="12.75" x14ac:dyDescent="0.2">
      <c r="A63" s="6"/>
      <c r="B63" s="3"/>
      <c r="C63" s="23"/>
      <c r="D63" s="23"/>
      <c r="E63" s="23"/>
      <c r="F63" s="23"/>
      <c r="G63" s="19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spans="1:18" s="5" customFormat="1" ht="12.75" x14ac:dyDescent="0.2">
      <c r="A64" s="6"/>
      <c r="B64" s="3"/>
      <c r="C64" s="23"/>
      <c r="D64" s="23"/>
      <c r="E64" s="23"/>
      <c r="F64" s="23"/>
      <c r="G64" s="19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spans="1:18" s="5" customFormat="1" ht="12.75" x14ac:dyDescent="0.2">
      <c r="A65" s="6"/>
      <c r="B65" s="3"/>
      <c r="C65" s="23"/>
      <c r="D65" s="23"/>
      <c r="E65" s="23"/>
      <c r="F65" s="23"/>
      <c r="G65" s="19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1:18" s="5" customFormat="1" ht="12.75" x14ac:dyDescent="0.2">
      <c r="A66" s="6"/>
      <c r="B66" s="3"/>
      <c r="C66" s="23"/>
      <c r="D66" s="23"/>
      <c r="E66" s="23"/>
      <c r="F66" s="23"/>
      <c r="G66" s="19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s="5" customFormat="1" ht="12.75" x14ac:dyDescent="0.2">
      <c r="A67" s="6"/>
      <c r="B67" s="3"/>
      <c r="C67" s="23"/>
      <c r="D67" s="23"/>
      <c r="E67" s="23"/>
      <c r="F67" s="23"/>
      <c r="G67" s="19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s="5" customFormat="1" ht="12.75" x14ac:dyDescent="0.2">
      <c r="A68" s="6"/>
      <c r="B68" s="3"/>
      <c r="C68" s="23"/>
      <c r="D68" s="23"/>
      <c r="E68" s="23"/>
      <c r="F68" s="23"/>
      <c r="G68" s="19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s="5" customFormat="1" ht="12.75" x14ac:dyDescent="0.2">
      <c r="A69" s="6"/>
      <c r="B69" s="3"/>
      <c r="C69" s="23"/>
      <c r="D69" s="23"/>
      <c r="E69" s="23"/>
      <c r="F69" s="23"/>
      <c r="G69" s="19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s="5" customFormat="1" ht="12.75" x14ac:dyDescent="0.2">
      <c r="A70" s="6"/>
      <c r="B70" s="3"/>
      <c r="C70" s="23"/>
      <c r="D70" s="23"/>
      <c r="E70" s="23"/>
      <c r="F70" s="23"/>
      <c r="G70" s="19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s="5" customFormat="1" ht="12.75" x14ac:dyDescent="0.2">
      <c r="A71" s="6"/>
      <c r="B71" s="3"/>
      <c r="C71" s="23"/>
      <c r="D71" s="23"/>
      <c r="E71" s="23"/>
      <c r="F71" s="23"/>
      <c r="G71" s="19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s="5" customFormat="1" ht="12.75" x14ac:dyDescent="0.2">
      <c r="A72" s="6"/>
      <c r="B72" s="3"/>
      <c r="C72" s="23"/>
      <c r="D72" s="23"/>
      <c r="E72" s="23"/>
      <c r="F72" s="23"/>
      <c r="G72" s="19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s="5" customFormat="1" ht="12.75" x14ac:dyDescent="0.2">
      <c r="A73" s="6"/>
      <c r="B73" s="3"/>
      <c r="C73" s="23"/>
      <c r="D73" s="23"/>
      <c r="E73" s="23"/>
      <c r="F73" s="23"/>
      <c r="G73" s="19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s="5" customFormat="1" ht="12.75" x14ac:dyDescent="0.2">
      <c r="A74" s="6"/>
      <c r="B74" s="3"/>
      <c r="C74" s="23"/>
      <c r="D74" s="23"/>
      <c r="E74" s="23"/>
      <c r="F74" s="23"/>
      <c r="G74" s="19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s="5" customFormat="1" ht="12.75" x14ac:dyDescent="0.2">
      <c r="A75" s="6"/>
      <c r="B75" s="3"/>
      <c r="C75" s="23"/>
      <c r="D75" s="23"/>
      <c r="E75" s="23"/>
      <c r="F75" s="23"/>
      <c r="G75" s="19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s="5" customFormat="1" ht="12.75" x14ac:dyDescent="0.2">
      <c r="A76" s="6"/>
      <c r="B76" s="3"/>
      <c r="C76" s="23"/>
      <c r="D76" s="23"/>
      <c r="E76" s="23"/>
      <c r="F76" s="23"/>
      <c r="G76" s="19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s="5" customFormat="1" ht="12.75" x14ac:dyDescent="0.2">
      <c r="A77" s="6"/>
      <c r="B77" s="3"/>
      <c r="C77" s="23"/>
      <c r="D77" s="23"/>
      <c r="E77" s="23"/>
      <c r="F77" s="23"/>
      <c r="G77" s="19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s="5" customFormat="1" ht="12.75" x14ac:dyDescent="0.2">
      <c r="A78" s="6"/>
      <c r="B78" s="3"/>
      <c r="C78" s="23"/>
      <c r="D78" s="23"/>
      <c r="E78" s="23"/>
      <c r="F78" s="23"/>
      <c r="G78" s="19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s="5" customFormat="1" ht="12.75" x14ac:dyDescent="0.2">
      <c r="A79" s="6"/>
      <c r="B79" s="3"/>
      <c r="C79" s="23"/>
      <c r="D79" s="23"/>
      <c r="E79" s="23"/>
      <c r="F79" s="23"/>
      <c r="G79" s="19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s="5" customFormat="1" ht="12.75" x14ac:dyDescent="0.2">
      <c r="A80" s="6"/>
      <c r="B80" s="3"/>
      <c r="C80" s="23"/>
      <c r="D80" s="23"/>
      <c r="E80" s="23"/>
      <c r="F80" s="23"/>
      <c r="G80" s="19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s="5" customFormat="1" ht="12.75" x14ac:dyDescent="0.2">
      <c r="A81" s="6"/>
      <c r="B81" s="3"/>
      <c r="C81" s="23"/>
      <c r="D81" s="23"/>
      <c r="E81" s="23"/>
      <c r="F81" s="23"/>
      <c r="G81" s="19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s="5" customFormat="1" ht="12.75" x14ac:dyDescent="0.2">
      <c r="A82" s="6"/>
      <c r="B82" s="3"/>
      <c r="C82" s="23"/>
      <c r="D82" s="23"/>
      <c r="E82" s="23"/>
      <c r="F82" s="23"/>
      <c r="G82" s="19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s="5" customFormat="1" ht="12.75" x14ac:dyDescent="0.2">
      <c r="A83" s="6"/>
      <c r="B83" s="3"/>
      <c r="C83" s="23"/>
      <c r="D83" s="23"/>
      <c r="E83" s="23"/>
      <c r="F83" s="23"/>
      <c r="G83" s="19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s="5" customFormat="1" ht="12.75" x14ac:dyDescent="0.2">
      <c r="A84" s="6"/>
      <c r="B84" s="3"/>
      <c r="C84" s="23"/>
      <c r="D84" s="23"/>
      <c r="E84" s="23"/>
      <c r="F84" s="23"/>
      <c r="G84" s="19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s="5" customFormat="1" ht="12.75" x14ac:dyDescent="0.2">
      <c r="A85" s="6"/>
      <c r="B85" s="3"/>
      <c r="C85" s="23"/>
      <c r="D85" s="23"/>
      <c r="E85" s="23"/>
      <c r="F85" s="23"/>
      <c r="G85" s="19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s="5" customFormat="1" ht="12.75" x14ac:dyDescent="0.2">
      <c r="A86" s="6"/>
      <c r="B86" s="3"/>
      <c r="C86" s="23"/>
      <c r="D86" s="23"/>
      <c r="E86" s="23"/>
      <c r="F86" s="23"/>
      <c r="G86" s="19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s="5" customFormat="1" ht="12.75" x14ac:dyDescent="0.2">
      <c r="A87" s="6"/>
      <c r="B87" s="3"/>
      <c r="C87" s="23"/>
      <c r="D87" s="23"/>
      <c r="E87" s="23"/>
      <c r="F87" s="23"/>
      <c r="G87" s="19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s="5" customFormat="1" ht="12.75" x14ac:dyDescent="0.2">
      <c r="A88" s="6"/>
      <c r="B88" s="3"/>
      <c r="C88" s="23"/>
      <c r="D88" s="23"/>
      <c r="E88" s="23"/>
      <c r="F88" s="23"/>
      <c r="G88" s="19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s="5" customFormat="1" ht="12.75" x14ac:dyDescent="0.2">
      <c r="A89" s="6"/>
      <c r="B89" s="3"/>
      <c r="C89" s="23"/>
      <c r="D89" s="23"/>
      <c r="E89" s="23"/>
      <c r="F89" s="23"/>
      <c r="G89" s="19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s="5" customFormat="1" ht="12.75" x14ac:dyDescent="0.2">
      <c r="A90" s="6"/>
      <c r="B90" s="3"/>
      <c r="C90" s="23"/>
      <c r="D90" s="23"/>
      <c r="E90" s="23"/>
      <c r="F90" s="23"/>
      <c r="G90" s="19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s="5" customFormat="1" ht="12.75" x14ac:dyDescent="0.2">
      <c r="A91" s="6"/>
      <c r="B91" s="3"/>
      <c r="C91" s="23"/>
      <c r="D91" s="23"/>
      <c r="E91" s="23"/>
      <c r="F91" s="23"/>
      <c r="G91" s="19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s="5" customFormat="1" ht="12.75" x14ac:dyDescent="0.2">
      <c r="A92" s="6"/>
      <c r="B92" s="3"/>
      <c r="C92" s="23"/>
      <c r="D92" s="23"/>
      <c r="E92" s="23"/>
      <c r="F92" s="23"/>
      <c r="G92" s="19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s="5" customFormat="1" ht="12.75" x14ac:dyDescent="0.2">
      <c r="A93" s="6"/>
      <c r="B93" s="3"/>
      <c r="C93" s="23"/>
      <c r="D93" s="23"/>
      <c r="E93" s="23"/>
      <c r="F93" s="23"/>
      <c r="G93" s="19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s="5" customFormat="1" ht="12.75" x14ac:dyDescent="0.2">
      <c r="A94" s="6"/>
      <c r="B94" s="3"/>
      <c r="C94" s="23"/>
      <c r="D94" s="23"/>
      <c r="E94" s="23"/>
      <c r="F94" s="23"/>
      <c r="G94" s="19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s="5" customFormat="1" ht="12.75" x14ac:dyDescent="0.2">
      <c r="A95" s="6"/>
      <c r="B95" s="3"/>
      <c r="C95" s="23"/>
      <c r="D95" s="23"/>
      <c r="E95" s="23"/>
      <c r="F95" s="23"/>
      <c r="G95" s="19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s="5" customFormat="1" ht="12.75" x14ac:dyDescent="0.2">
      <c r="A96" s="6"/>
      <c r="B96" s="3"/>
      <c r="C96" s="23"/>
      <c r="D96" s="23"/>
      <c r="E96" s="23"/>
      <c r="F96" s="23"/>
      <c r="G96" s="19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s="5" customFormat="1" ht="12.75" x14ac:dyDescent="0.2">
      <c r="A97" s="6"/>
      <c r="B97" s="3"/>
      <c r="C97" s="23"/>
      <c r="D97" s="23"/>
      <c r="E97" s="23"/>
      <c r="F97" s="23"/>
      <c r="G97" s="19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s="5" customFormat="1" ht="12.75" x14ac:dyDescent="0.2">
      <c r="A98" s="6"/>
      <c r="B98" s="3"/>
      <c r="C98" s="23"/>
      <c r="D98" s="23"/>
      <c r="E98" s="23"/>
      <c r="F98" s="23"/>
      <c r="G98" s="19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s="5" customFormat="1" ht="12.75" x14ac:dyDescent="0.2">
      <c r="A99" s="6"/>
      <c r="B99" s="3"/>
      <c r="C99" s="23"/>
      <c r="D99" s="23"/>
      <c r="E99" s="23"/>
      <c r="F99" s="23"/>
      <c r="G99" s="19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s="5" customFormat="1" ht="12.75" x14ac:dyDescent="0.2">
      <c r="A100" s="6"/>
      <c r="B100" s="3"/>
      <c r="C100" s="23"/>
      <c r="D100" s="23"/>
      <c r="E100" s="23"/>
      <c r="F100" s="23"/>
      <c r="G100" s="19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01AD-7785-43F4-8C9E-E187252287CA}">
  <dimension ref="A1:W100"/>
  <sheetViews>
    <sheetView workbookViewId="0">
      <selection activeCell="T7" sqref="T7:W10"/>
    </sheetView>
  </sheetViews>
  <sheetFormatPr defaultRowHeight="15" x14ac:dyDescent="0.25"/>
  <cols>
    <col min="1" max="1" width="25.28515625" customWidth="1"/>
    <col min="2" max="2" width="15.85546875" customWidth="1"/>
    <col min="3" max="3" width="9.7109375" bestFit="1" customWidth="1"/>
    <col min="4" max="4" width="10.140625" bestFit="1" customWidth="1"/>
    <col min="5" max="5" width="9.42578125" bestFit="1" customWidth="1"/>
    <col min="6" max="6" width="9.85546875" bestFit="1" customWidth="1"/>
    <col min="7" max="7" width="10.85546875" bestFit="1" customWidth="1"/>
    <col min="8" max="8" width="9.85546875" bestFit="1" customWidth="1"/>
    <col min="9" max="9" width="10.140625" bestFit="1" customWidth="1"/>
    <col min="10" max="10" width="9.42578125" bestFit="1" customWidth="1"/>
    <col min="11" max="12" width="9.85546875" bestFit="1" customWidth="1"/>
    <col min="13" max="13" width="9.7109375" bestFit="1" customWidth="1"/>
    <col min="14" max="14" width="4.28515625" customWidth="1"/>
    <col min="15" max="17" width="10.7109375" customWidth="1"/>
    <col min="18" max="19" width="12.7109375" customWidth="1"/>
  </cols>
  <sheetData>
    <row r="1" spans="1:23" s="5" customFormat="1" ht="18" x14ac:dyDescent="0.25">
      <c r="A1" s="2" t="s">
        <v>47</v>
      </c>
      <c r="B1" s="3"/>
      <c r="C1"/>
      <c r="D1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3" s="5" customFormat="1" ht="12.75" x14ac:dyDescent="0.2">
      <c r="A2" s="6"/>
      <c r="B2" s="7" t="s">
        <v>1</v>
      </c>
      <c r="C2" s="3"/>
      <c r="D2" s="3"/>
      <c r="E2" s="3"/>
      <c r="F2" s="3"/>
      <c r="G2" s="4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3" s="5" customFormat="1" ht="12.75" x14ac:dyDescent="0.2">
      <c r="A3" s="8" t="s">
        <v>3</v>
      </c>
      <c r="B3" s="3"/>
      <c r="C3" s="3"/>
      <c r="D3" s="3"/>
      <c r="E3" s="3"/>
      <c r="F3" s="3"/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3" s="5" customFormat="1" ht="12.75" x14ac:dyDescent="0.2">
      <c r="A4" s="10">
        <f>'[1]Crude Oil'!A4</f>
        <v>46006</v>
      </c>
      <c r="B4" s="11" t="s">
        <v>4</v>
      </c>
      <c r="C4" s="12"/>
      <c r="D4" s="12"/>
      <c r="E4" s="12"/>
      <c r="F4" s="12"/>
      <c r="G4" s="9" t="str">
        <f>'[1]Crude Oil'!G4</f>
        <v>% change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1" t="s">
        <v>5</v>
      </c>
      <c r="S4" s="11" t="s">
        <v>5</v>
      </c>
    </row>
    <row r="5" spans="1:23" s="5" customFormat="1" ht="12.75" x14ac:dyDescent="0.2">
      <c r="A5" s="13" t="s">
        <v>6</v>
      </c>
      <c r="B5" s="14" t="s">
        <v>7</v>
      </c>
      <c r="C5" s="14">
        <f>'[1]Crude Oil'!C5</f>
        <v>46082</v>
      </c>
      <c r="D5" s="14">
        <f>'[1]Crude Oil'!D5</f>
        <v>46177</v>
      </c>
      <c r="E5" s="14">
        <f>'[1]Crude Oil'!E5</f>
        <v>46272</v>
      </c>
      <c r="F5" s="14">
        <f>'[1]Crude Oil'!F5</f>
        <v>46367</v>
      </c>
      <c r="G5" s="9" t="str">
        <f>'[1]Crude Oil'!G5</f>
        <v>from spot</v>
      </c>
      <c r="H5" s="14">
        <f>'[1]Crude Oil'!H5</f>
        <v>46462</v>
      </c>
      <c r="I5" s="14">
        <f>'[1]Crude Oil'!I5</f>
        <v>46557</v>
      </c>
      <c r="J5" s="14">
        <f>'[1]Crude Oil'!J5</f>
        <v>46652</v>
      </c>
      <c r="K5" s="14">
        <f>'[1]Crude Oil'!K5</f>
        <v>46747</v>
      </c>
      <c r="L5" s="14"/>
      <c r="M5" s="14"/>
      <c r="N5" s="14"/>
      <c r="O5" s="15">
        <f>'[1]Crude Oil'!O5</f>
        <v>2028</v>
      </c>
      <c r="P5" s="15">
        <f>'[1]Crude Oil'!P5</f>
        <v>2029</v>
      </c>
      <c r="Q5" s="15">
        <f>'[1]Crude Oil'!Q5</f>
        <v>2030</v>
      </c>
      <c r="R5" s="14" t="str">
        <f>'[1]Crude Oil'!R5</f>
        <v>2031-2035</v>
      </c>
      <c r="S5" s="14" t="str">
        <f>'[1]Crude Oil'!S5</f>
        <v>2031-2035</v>
      </c>
    </row>
    <row r="6" spans="1:23" s="5" customFormat="1" ht="12.75" x14ac:dyDescent="0.2">
      <c r="A6" s="10">
        <f>'[1]Crude Oil'!$A$6</f>
        <v>46010</v>
      </c>
      <c r="B6" s="3"/>
      <c r="C6" s="3" t="s">
        <v>8</v>
      </c>
      <c r="D6" s="3"/>
      <c r="E6" s="3"/>
      <c r="F6" s="3"/>
      <c r="G6" s="4"/>
      <c r="H6" s="3" t="s">
        <v>8</v>
      </c>
      <c r="I6" s="3"/>
      <c r="J6" s="3"/>
      <c r="K6" s="3"/>
      <c r="L6" s="3"/>
      <c r="M6" s="3"/>
      <c r="N6" s="3"/>
      <c r="O6" s="3"/>
      <c r="P6" s="3"/>
      <c r="Q6" s="3"/>
      <c r="R6" s="3" t="s">
        <v>8</v>
      </c>
      <c r="S6" s="3" t="s">
        <v>9</v>
      </c>
    </row>
    <row r="7" spans="1:23" s="6" customFormat="1" ht="12.75" x14ac:dyDescent="0.2">
      <c r="A7" s="16" t="s">
        <v>10</v>
      </c>
      <c r="B7" s="17">
        <v>1904.5</v>
      </c>
      <c r="C7" s="1">
        <f>IF(COUNT(C20:C200)&lt;&gt;0, AVERAGE(C20:C200), "")</f>
        <v>2005.8694591801313</v>
      </c>
      <c r="D7" s="1">
        <f>IF(COUNT(D20:D200)&lt;&gt;0, AVERAGE(D20:D200), "")</f>
        <v>2004.3307219123496</v>
      </c>
      <c r="E7" s="1">
        <f>IF(COUNT(E20:E200)&lt;&gt;0, AVERAGE(E20:E200), "")</f>
        <v>2008.209280333637</v>
      </c>
      <c r="F7" s="1">
        <f>IF(COUNT(F20:F200)&lt;&gt;0, AVERAGE(F20:F200), "")</f>
        <v>2012.0337797464367</v>
      </c>
      <c r="G7" s="18">
        <f>AVERAGE(G20:G201)</f>
        <v>5.646299802910841E-2</v>
      </c>
      <c r="H7" s="1">
        <f>IF(COUNT(H20:H200)&lt;&gt;0, AVERAGE(H20:H200), "")</f>
        <v>2039.4309621858981</v>
      </c>
      <c r="I7" s="1">
        <f>IF(COUNT(I20:I200)&lt;&gt;0, AVERAGE(I20:I200), "")</f>
        <v>2026.1840203683416</v>
      </c>
      <c r="J7" s="1">
        <f>IF(COUNT(J20:J200)&lt;&gt;0, AVERAGE(J20:J200), "")</f>
        <v>2034.1060417482793</v>
      </c>
      <c r="K7" s="1">
        <f>IF(COUNT(K20:K200)&lt;&gt;0, AVERAGE(K20:K200), "")</f>
        <v>2043.37751637725</v>
      </c>
      <c r="L7" s="1">
        <f>AVERAGE(C7:F7)</f>
        <v>2007.6108102931389</v>
      </c>
      <c r="M7" s="1">
        <f>AVERAGE(H7:K7)</f>
        <v>2035.7746351699423</v>
      </c>
      <c r="N7" s="1"/>
      <c r="O7" s="1">
        <f>IF(COUNT(O20:O200)&lt;&gt;0, AVERAGE(O20:O200), "")</f>
        <v>2107.5174221786924</v>
      </c>
      <c r="P7" s="1">
        <f>IF(COUNT(P20:P200)&lt;&gt;0, AVERAGE(P20:P200), "")</f>
        <v>2128.4695390658367</v>
      </c>
      <c r="Q7" s="1">
        <f>IF(COUNT(Q20:Q200)&lt;&gt;0, AVERAGE(Q20:Q200), "")</f>
        <v>2207.9043556386018</v>
      </c>
      <c r="R7" s="1">
        <f>IF(COUNT(R20:R200)&lt;&gt;0, AVERAGE(R20:R200), "")</f>
        <v>2296.8504876882225</v>
      </c>
      <c r="S7" s="1">
        <f>IF(COUNT(S20:S200)&lt;&gt;0, AVERAGE(S20:S200), "")</f>
        <v>1943.74320806889</v>
      </c>
      <c r="T7" s="1">
        <f>O7</f>
        <v>2107.5174221786924</v>
      </c>
      <c r="U7" s="1">
        <f t="shared" ref="U7:V7" si="0">P7</f>
        <v>2128.4695390658367</v>
      </c>
      <c r="V7" s="1">
        <f t="shared" si="0"/>
        <v>2207.9043556386018</v>
      </c>
      <c r="W7" s="1">
        <f>S7</f>
        <v>1943.74320806889</v>
      </c>
    </row>
    <row r="8" spans="1:23" s="5" customFormat="1" ht="12.75" x14ac:dyDescent="0.2">
      <c r="A8" s="6"/>
      <c r="B8" s="3"/>
      <c r="C8" s="1"/>
      <c r="D8" s="1"/>
      <c r="E8" s="1"/>
      <c r="F8" s="1"/>
      <c r="G8" s="19"/>
      <c r="H8" s="1"/>
      <c r="I8" s="1"/>
      <c r="J8" s="1"/>
      <c r="K8" s="1"/>
      <c r="L8" s="20">
        <f>AVERAGE(C11:F11)</f>
        <v>80.587879228062434</v>
      </c>
      <c r="M8" s="20">
        <f>AVERAGE(H11:K11)</f>
        <v>138.60708512130103</v>
      </c>
      <c r="N8" s="20"/>
      <c r="O8" s="1"/>
      <c r="P8" s="1"/>
      <c r="Q8" s="1"/>
      <c r="R8" s="1"/>
      <c r="S8" s="1"/>
      <c r="T8" s="20">
        <f>O11</f>
        <v>147.74317618016849</v>
      </c>
      <c r="U8" s="20">
        <f t="shared" ref="U8:V8" si="1">P11</f>
        <v>174.86261534581089</v>
      </c>
      <c r="V8" s="20">
        <f t="shared" si="1"/>
        <v>204.15267735761361</v>
      </c>
      <c r="W8" s="20">
        <f>S11</f>
        <v>175.88817768957151</v>
      </c>
    </row>
    <row r="9" spans="1:23" s="5" customFormat="1" ht="12.75" x14ac:dyDescent="0.2">
      <c r="A9" s="6" t="s">
        <v>11</v>
      </c>
      <c r="B9" s="3"/>
      <c r="C9" s="20">
        <f>IF(COUNT(C20:C200)&lt;&gt;0, MAX(C20:C200), "")</f>
        <v>2171</v>
      </c>
      <c r="D9" s="20">
        <f>IF(COUNT(D20:D200)&lt;&gt;0, MAX(D20:D200), "")</f>
        <v>2174</v>
      </c>
      <c r="E9" s="20">
        <f>IF(COUNT(E20:E200)&lt;&gt;0, MAX(E20:E200), "")</f>
        <v>2176</v>
      </c>
      <c r="F9" s="20">
        <f>IF(COUNT(F20:F200)&lt;&gt;0, MAX(F20:F200), "")</f>
        <v>2181</v>
      </c>
      <c r="G9" s="21"/>
      <c r="H9" s="20">
        <f>IF(COUNT(H20:H200)&lt;&gt;0, MAX(H20:H200), "")</f>
        <v>2250</v>
      </c>
      <c r="I9" s="20">
        <f>IF(COUNT(I20:I200)&lt;&gt;0, MAX(I20:I200), "")</f>
        <v>2204.6</v>
      </c>
      <c r="J9" s="20">
        <f>IF(COUNT(J20:J200)&lt;&gt;0, MAX(J20:J200), "")</f>
        <v>2204.6</v>
      </c>
      <c r="K9" s="20">
        <f>IF(COUNT(K20:K200)&lt;&gt;0, MAX(K20:K200), "")</f>
        <v>2238</v>
      </c>
      <c r="L9" s="20">
        <f>L7+L8</f>
        <v>2088.1986895212012</v>
      </c>
      <c r="M9" s="20">
        <f>M7+M8</f>
        <v>2174.3817202912433</v>
      </c>
      <c r="N9" s="20"/>
      <c r="O9" s="20">
        <f>IF(COUNT(O20:O200)&lt;&gt;0, MAX(O20:O200), "")</f>
        <v>2367</v>
      </c>
      <c r="P9" s="20">
        <f>IF(COUNT(P20:P200)&lt;&gt;0, MAX(P20:P200), "")</f>
        <v>2489</v>
      </c>
      <c r="Q9" s="20">
        <f>IF(COUNT(Q20:Q200)&lt;&gt;0, MAX(Q20:Q200), "")</f>
        <v>2612</v>
      </c>
      <c r="R9" s="20">
        <f>IF(COUNT(R20:R200)&lt;&gt;0, MAX(R20:R200), "")</f>
        <v>2584.2156548877101</v>
      </c>
      <c r="S9" s="20">
        <f>IF(COUNT(S20:S200)&lt;&gt;0, MAX(S20:S200), "")</f>
        <v>2250.0204118660999</v>
      </c>
      <c r="T9" s="24">
        <f>T8+T7</f>
        <v>2255.260598358861</v>
      </c>
      <c r="U9" s="24">
        <f t="shared" ref="U9:W9" si="2">U8+U7</f>
        <v>2303.3321544116475</v>
      </c>
      <c r="V9" s="24">
        <f t="shared" si="2"/>
        <v>2412.0570329962156</v>
      </c>
      <c r="W9" s="24">
        <f t="shared" si="2"/>
        <v>2119.6313857584614</v>
      </c>
    </row>
    <row r="10" spans="1:23" s="5" customFormat="1" ht="12.75" x14ac:dyDescent="0.2">
      <c r="A10" s="6" t="s">
        <v>12</v>
      </c>
      <c r="B10" s="3"/>
      <c r="C10" s="20">
        <f>IF(COUNT(C20:C200)&lt;&gt;0, MIN(C20:C200), "")</f>
        <v>1890</v>
      </c>
      <c r="D10" s="20">
        <f>IF(COUNT(D20:D200)&lt;&gt;0, MIN(D20:D200), "")</f>
        <v>1865</v>
      </c>
      <c r="E10" s="20">
        <f>IF(COUNT(E20:E200)&lt;&gt;0, MIN(E20:E200), "")</f>
        <v>1800</v>
      </c>
      <c r="F10" s="20">
        <f>IF(COUNT(F20:F200)&lt;&gt;0, MIN(F20:F200), "")</f>
        <v>1700</v>
      </c>
      <c r="G10" s="21"/>
      <c r="H10" s="20">
        <f>IF(COUNT(H20:H200)&lt;&gt;0, MIN(H20:H200), "")</f>
        <v>1750</v>
      </c>
      <c r="I10" s="20">
        <f>IF(COUNT(I20:I200)&lt;&gt;0, MIN(I20:I200), "")</f>
        <v>1750</v>
      </c>
      <c r="J10" s="20">
        <f>IF(COUNT(J20:J200)&lt;&gt;0, MIN(J20:J200), "")</f>
        <v>1740</v>
      </c>
      <c r="K10" s="20">
        <f>IF(COUNT(K20:K200)&lt;&gt;0, MIN(K20:K200), "")</f>
        <v>1715</v>
      </c>
      <c r="L10" s="20">
        <f>L7-L8</f>
        <v>1927.0229310650766</v>
      </c>
      <c r="M10" s="20">
        <f>M7-M8</f>
        <v>1897.1675500486413</v>
      </c>
      <c r="N10" s="20"/>
      <c r="O10" s="20">
        <f>IF(COUNT(O20:O200)&lt;&gt;0, MIN(O20:O200), "")</f>
        <v>1800</v>
      </c>
      <c r="P10" s="20">
        <f>IF(COUNT(P20:P200)&lt;&gt;0, MIN(P20:P200), "")</f>
        <v>1800</v>
      </c>
      <c r="Q10" s="20">
        <f>IF(COUNT(Q20:Q200)&lt;&gt;0, MIN(Q20:Q200), "")</f>
        <v>1915.5425</v>
      </c>
      <c r="R10" s="20">
        <f>IF(COUNT(R20:R200)&lt;&gt;0, MIN(R20:R200), "")</f>
        <v>1901.27</v>
      </c>
      <c r="S10" s="20">
        <f>IF(COUNT(S20:S200)&lt;&gt;0, MIN(S20:S200), "")</f>
        <v>1650</v>
      </c>
      <c r="T10" s="24">
        <f>T7-T8</f>
        <v>1959.7742459985238</v>
      </c>
      <c r="U10" s="24">
        <f t="shared" ref="U10:W10" si="3">U7-U8</f>
        <v>1953.6069237200259</v>
      </c>
      <c r="V10" s="24">
        <f t="shared" si="3"/>
        <v>2003.7516782809882</v>
      </c>
      <c r="W10" s="24">
        <f t="shared" si="3"/>
        <v>1767.8550303793186</v>
      </c>
    </row>
    <row r="11" spans="1:23" s="5" customFormat="1" ht="12.75" x14ac:dyDescent="0.2">
      <c r="A11" s="6" t="s">
        <v>13</v>
      </c>
      <c r="B11" s="3"/>
      <c r="C11" s="20">
        <f>IF(COUNT(C20:C200)&gt;1, STDEV(C20:C200), "")</f>
        <v>58.598429272881553</v>
      </c>
      <c r="D11" s="20">
        <f>IF(COUNT(D20:D200)&gt;1, STDEV(D20:D200), "")</f>
        <v>69.147099194395196</v>
      </c>
      <c r="E11" s="20">
        <f>IF(COUNT(E20:E200)&gt;1, STDEV(E20:E200), "")</f>
        <v>87.592997378763172</v>
      </c>
      <c r="F11" s="20">
        <f>IF(COUNT(F20:F200)&gt;1, STDEV(F20:F200), "")</f>
        <v>107.01299106620982</v>
      </c>
      <c r="G11" s="21"/>
      <c r="H11" s="20">
        <f>IF(COUNT(H20:H200)&gt;1, STDEV(H20:H200), "")</f>
        <v>135.87373540514378</v>
      </c>
      <c r="I11" s="20">
        <f>IF(COUNT(I20:I200)&gt;1, STDEV(I20:I200), "")</f>
        <v>133.75681108023738</v>
      </c>
      <c r="J11" s="20">
        <f>IF(COUNT(J20:J200)&gt;1, STDEV(J20:J200), "")</f>
        <v>135.29939213001364</v>
      </c>
      <c r="K11" s="20">
        <f>IF(COUNT(K20:K200)&gt;1, STDEV(K20:K200), "")</f>
        <v>149.49840186980933</v>
      </c>
      <c r="L11" s="20"/>
      <c r="M11" s="20"/>
      <c r="N11" s="20"/>
      <c r="O11" s="20">
        <f>IF(COUNT(O20:O200)&gt;1, STDEV(O20:O200), "")</f>
        <v>147.74317618016849</v>
      </c>
      <c r="P11" s="20">
        <f>IF(COUNT(P20:P200)&gt;1, STDEV(P20:P200), "")</f>
        <v>174.86261534581089</v>
      </c>
      <c r="Q11" s="20">
        <f>IF(COUNT(Q20:Q200)&gt;1, STDEV(Q20:Q200), "")</f>
        <v>204.15267735761361</v>
      </c>
      <c r="R11" s="20">
        <f>IF(COUNT(R20:R200)&gt;1, STDEV(R20:R200), "")</f>
        <v>209.53559530596758</v>
      </c>
      <c r="S11" s="20">
        <f>IF(COUNT(S20:S200)&gt;1, STDEV(S20:S200), "")</f>
        <v>175.88817768957151</v>
      </c>
    </row>
    <row r="12" spans="1:23" s="5" customFormat="1" ht="12.75" x14ac:dyDescent="0.2">
      <c r="A12" s="6" t="s">
        <v>14</v>
      </c>
      <c r="B12" s="3"/>
      <c r="C12" s="20">
        <f>IF(COUNT(C20:C200)&lt;&gt;0, COUNT(C20:C200), "")</f>
        <v>23</v>
      </c>
      <c r="D12" s="20">
        <f>IF(COUNT(D20:D200)&lt;&gt;0, COUNT(D20:D200), "")</f>
        <v>23</v>
      </c>
      <c r="E12" s="20">
        <f>IF(COUNT(E20:E200)&lt;&gt;0, COUNT(E20:E200), "")</f>
        <v>23</v>
      </c>
      <c r="F12" s="20">
        <f>IF(COUNT(F20:F200)&lt;&gt;0, COUNT(F20:F200), "")</f>
        <v>23</v>
      </c>
      <c r="G12" s="22"/>
      <c r="H12" s="20">
        <f>IF(COUNT(H20:H200)&lt;&gt;0, COUNT(H20:H200), "")</f>
        <v>21</v>
      </c>
      <c r="I12" s="20">
        <f>IF(COUNT(I20:I200)&lt;&gt;0, COUNT(I20:I200), "")</f>
        <v>20</v>
      </c>
      <c r="J12" s="20">
        <f>IF(COUNT(J20:J200)&lt;&gt;0, COUNT(J20:J200), "")</f>
        <v>20</v>
      </c>
      <c r="K12" s="20">
        <f>IF(COUNT(K20:K200)&lt;&gt;0, COUNT(K20:K200), "")</f>
        <v>18</v>
      </c>
      <c r="L12" s="23"/>
      <c r="M12" s="23"/>
      <c r="N12" s="23"/>
      <c r="O12" s="20">
        <f>IF(COUNT(O20:O200)&lt;&gt;0, COUNT(O20:O200), "")</f>
        <v>16</v>
      </c>
      <c r="P12" s="20">
        <f>IF(COUNT(P20:P200)&lt;&gt;0, COUNT(P20:P200), "")</f>
        <v>16</v>
      </c>
      <c r="Q12" s="20">
        <f>IF(COUNT(Q20:Q200)&lt;&gt;0, COUNT(Q20:Q200), "")</f>
        <v>12</v>
      </c>
      <c r="R12" s="20">
        <f>IF(COUNT(R20:R200)&lt;&gt;0, COUNT(R20:R200), "")</f>
        <v>8</v>
      </c>
      <c r="S12" s="20">
        <f>IF(COUNT(S20:S200)&lt;&gt;0, COUNT(S20:S200), "")</f>
        <v>11</v>
      </c>
    </row>
    <row r="13" spans="1:23" s="5" customFormat="1" ht="12.75" x14ac:dyDescent="0.2">
      <c r="A13" s="6"/>
      <c r="B13" s="3"/>
      <c r="C13" s="12"/>
      <c r="D13" s="12"/>
      <c r="E13" s="12"/>
      <c r="F13" s="12"/>
      <c r="G13" s="1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23" s="5" customFormat="1" ht="12.75" x14ac:dyDescent="0.2">
      <c r="A14" s="6"/>
      <c r="B14" s="3"/>
      <c r="C14" s="20"/>
      <c r="D14" s="20"/>
      <c r="E14" s="20"/>
      <c r="F14" s="20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23" s="5" customFormat="1" ht="12.75" x14ac:dyDescent="0.2">
      <c r="A15" s="6"/>
      <c r="B15" s="3"/>
      <c r="C15" s="20"/>
      <c r="D15" s="20"/>
      <c r="E15" s="20"/>
      <c r="F15" s="20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23" s="5" customFormat="1" ht="12.75" x14ac:dyDescent="0.2">
      <c r="A16" s="6"/>
      <c r="B16" s="3"/>
      <c r="C16" s="20"/>
      <c r="D16" s="20"/>
      <c r="E16" s="20"/>
      <c r="F16" s="20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9" s="5" customFormat="1" ht="12.75" x14ac:dyDescent="0.2">
      <c r="A17" s="6"/>
      <c r="B17" s="3"/>
      <c r="C17" s="20"/>
      <c r="D17" s="20"/>
      <c r="E17" s="20"/>
      <c r="F17" s="20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9" s="5" customFormat="1" ht="12.75" x14ac:dyDescent="0.2">
      <c r="A18" s="6"/>
      <c r="B18" s="3"/>
      <c r="C18" s="20"/>
      <c r="D18" s="20"/>
      <c r="E18" s="20"/>
      <c r="F18" s="20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9" s="5" customFormat="1" ht="12.75" x14ac:dyDescent="0.2">
      <c r="A19" s="6"/>
      <c r="B19" s="3"/>
      <c r="C19" s="20"/>
      <c r="D19" s="20"/>
      <c r="E19" s="20"/>
      <c r="F19" s="20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9" s="5" customFormat="1" ht="12.75" x14ac:dyDescent="0.2">
      <c r="A20" s="8" t="s">
        <v>28</v>
      </c>
      <c r="B20" s="3"/>
      <c r="C20" s="20">
        <v>2171</v>
      </c>
      <c r="D20" s="20">
        <v>2174</v>
      </c>
      <c r="E20" s="20">
        <v>2176</v>
      </c>
      <c r="F20" s="20">
        <v>2181</v>
      </c>
      <c r="G20" s="19">
        <v>0.14518246258860593</v>
      </c>
      <c r="H20" s="20">
        <v>2186</v>
      </c>
      <c r="I20" s="20">
        <v>2186</v>
      </c>
      <c r="J20" s="20">
        <v>2191</v>
      </c>
      <c r="K20" s="20">
        <v>2238</v>
      </c>
      <c r="L20" s="20"/>
      <c r="M20" s="20"/>
      <c r="N20" s="20"/>
      <c r="O20" s="20">
        <v>2270</v>
      </c>
      <c r="P20" s="20">
        <v>2294</v>
      </c>
      <c r="Q20" s="20">
        <v>2259</v>
      </c>
      <c r="R20" s="20">
        <v>2347</v>
      </c>
      <c r="S20" s="24">
        <v>1873</v>
      </c>
    </row>
    <row r="21" spans="1:19" s="5" customFormat="1" ht="12.75" x14ac:dyDescent="0.2">
      <c r="A21" s="8" t="s">
        <v>19</v>
      </c>
      <c r="B21" s="3"/>
      <c r="C21" s="20">
        <v>2000</v>
      </c>
      <c r="D21" s="20">
        <v>2000</v>
      </c>
      <c r="E21" s="20">
        <v>2100</v>
      </c>
      <c r="F21" s="20">
        <v>2100</v>
      </c>
      <c r="G21" s="19">
        <v>0.10265161459700708</v>
      </c>
      <c r="H21" s="20">
        <v>2200</v>
      </c>
      <c r="I21" s="20">
        <v>2200</v>
      </c>
      <c r="J21" s="20">
        <v>2200</v>
      </c>
      <c r="K21" s="20">
        <v>2200</v>
      </c>
      <c r="L21" s="20"/>
      <c r="M21" s="20"/>
      <c r="N21" s="20"/>
      <c r="O21" s="20" t="s">
        <v>16</v>
      </c>
      <c r="P21" s="20"/>
      <c r="Q21" s="20"/>
      <c r="R21" s="20"/>
      <c r="S21" s="24"/>
    </row>
    <row r="22" spans="1:19" s="5" customFormat="1" ht="12.75" x14ac:dyDescent="0.2">
      <c r="A22" s="8" t="s">
        <v>35</v>
      </c>
      <c r="B22" s="3"/>
      <c r="C22" s="20">
        <v>1980</v>
      </c>
      <c r="D22" s="20">
        <v>2040</v>
      </c>
      <c r="E22" s="20">
        <v>2080</v>
      </c>
      <c r="F22" s="20">
        <v>2100</v>
      </c>
      <c r="G22" s="19">
        <v>0.10265161459700708</v>
      </c>
      <c r="H22" s="20">
        <v>2105</v>
      </c>
      <c r="I22" s="20">
        <v>2010</v>
      </c>
      <c r="J22" s="20">
        <v>2015</v>
      </c>
      <c r="K22" s="20">
        <v>2020</v>
      </c>
      <c r="L22" s="20"/>
      <c r="M22" s="20"/>
      <c r="N22" s="20"/>
      <c r="O22" s="20">
        <v>2055</v>
      </c>
      <c r="P22" s="20">
        <v>2055</v>
      </c>
      <c r="Q22" s="20"/>
      <c r="R22" s="20"/>
      <c r="S22" s="24"/>
    </row>
    <row r="23" spans="1:19" s="5" customFormat="1" ht="12.75" x14ac:dyDescent="0.2">
      <c r="A23" s="8" t="s">
        <v>30</v>
      </c>
      <c r="B23" s="3"/>
      <c r="C23" s="20">
        <v>2100</v>
      </c>
      <c r="D23" s="20">
        <v>2050</v>
      </c>
      <c r="E23" s="20">
        <v>2000</v>
      </c>
      <c r="F23" s="20">
        <v>2100</v>
      </c>
      <c r="G23" s="19">
        <v>0.10265161459700708</v>
      </c>
      <c r="H23" s="20" t="s">
        <v>16</v>
      </c>
      <c r="I23" s="20" t="s">
        <v>16</v>
      </c>
      <c r="J23" s="20" t="s">
        <v>16</v>
      </c>
      <c r="K23" s="20" t="s">
        <v>16</v>
      </c>
      <c r="L23" s="20"/>
      <c r="M23" s="20"/>
      <c r="N23" s="20"/>
      <c r="O23" s="20" t="s">
        <v>16</v>
      </c>
      <c r="P23" s="20"/>
      <c r="Q23" s="20"/>
      <c r="R23" s="20"/>
      <c r="S23" s="24"/>
    </row>
    <row r="24" spans="1:19" s="5" customFormat="1" ht="12.75" x14ac:dyDescent="0.2">
      <c r="A24" s="8" t="s">
        <v>37</v>
      </c>
      <c r="B24" s="3"/>
      <c r="C24" s="23">
        <v>2025.5463842700899</v>
      </c>
      <c r="D24" s="23">
        <v>2046.3923777985401</v>
      </c>
      <c r="E24" s="23">
        <v>2085.25536363625</v>
      </c>
      <c r="F24" s="23">
        <v>2099.2431538214801</v>
      </c>
      <c r="G24" s="19">
        <v>0.10225421571093729</v>
      </c>
      <c r="H24" s="23">
        <v>2150.8664529293901</v>
      </c>
      <c r="I24" s="23">
        <v>2185.5432273287602</v>
      </c>
      <c r="J24" s="23">
        <v>2194.01970254256</v>
      </c>
      <c r="K24" s="23">
        <v>2201.26925152575</v>
      </c>
      <c r="L24" s="23"/>
      <c r="M24" s="23"/>
      <c r="N24" s="23"/>
      <c r="O24" s="23">
        <v>2204.0612189560002</v>
      </c>
      <c r="P24" s="23">
        <v>2207.217716912</v>
      </c>
      <c r="Q24" s="23">
        <v>2205.7452012799999</v>
      </c>
      <c r="R24" s="23"/>
      <c r="S24" s="25"/>
    </row>
    <row r="25" spans="1:19" s="5" customFormat="1" ht="12.75" x14ac:dyDescent="0.2">
      <c r="A25" s="8" t="s">
        <v>43</v>
      </c>
      <c r="B25" s="3"/>
      <c r="C25" s="23">
        <v>2094.37</v>
      </c>
      <c r="D25" s="23">
        <v>2094.37</v>
      </c>
      <c r="E25" s="23">
        <v>2094.37</v>
      </c>
      <c r="F25" s="23">
        <v>2094.37</v>
      </c>
      <c r="G25" s="19">
        <v>9.9695458125492201E-2</v>
      </c>
      <c r="H25" s="23">
        <v>2094.37</v>
      </c>
      <c r="I25" s="23">
        <v>2094.37</v>
      </c>
      <c r="J25" s="23">
        <v>2094.37</v>
      </c>
      <c r="K25" s="23" t="s">
        <v>16</v>
      </c>
      <c r="L25" s="23"/>
      <c r="M25" s="23"/>
      <c r="N25" s="23"/>
      <c r="O25" s="23">
        <v>2094.37</v>
      </c>
      <c r="P25" s="23">
        <v>1984.14</v>
      </c>
      <c r="Q25" s="23"/>
      <c r="R25" s="23"/>
      <c r="S25" s="25">
        <v>1984.14</v>
      </c>
    </row>
    <row r="26" spans="1:19" s="5" customFormat="1" ht="12.75" x14ac:dyDescent="0.2">
      <c r="A26" s="6" t="s">
        <v>18</v>
      </c>
      <c r="B26" s="3"/>
      <c r="C26" s="23">
        <v>1984.14</v>
      </c>
      <c r="D26" s="23">
        <v>1984.14</v>
      </c>
      <c r="E26" s="23">
        <v>2094.37</v>
      </c>
      <c r="F26" s="23">
        <v>2094.37</v>
      </c>
      <c r="G26" s="19">
        <v>9.9695458125492201E-2</v>
      </c>
      <c r="H26" s="23">
        <v>2204.6</v>
      </c>
      <c r="I26" s="23">
        <v>2204.6</v>
      </c>
      <c r="J26" s="23">
        <v>2204.6</v>
      </c>
      <c r="K26" s="23">
        <v>2204.6</v>
      </c>
      <c r="L26" s="23"/>
      <c r="M26" s="23"/>
      <c r="N26" s="23"/>
      <c r="O26" s="23">
        <v>2314.83</v>
      </c>
      <c r="P26" s="23">
        <v>2358.922</v>
      </c>
      <c r="Q26" s="23">
        <v>2358.922</v>
      </c>
      <c r="R26" s="23">
        <v>2503.9325207138299</v>
      </c>
      <c r="S26" s="25">
        <v>2116.4160000000002</v>
      </c>
    </row>
    <row r="27" spans="1:19" s="5" customFormat="1" ht="12.75" x14ac:dyDescent="0.2">
      <c r="A27" s="6" t="s">
        <v>32</v>
      </c>
      <c r="B27" s="3"/>
      <c r="C27" s="23">
        <v>2004.877</v>
      </c>
      <c r="D27" s="23">
        <v>2024.9259999999999</v>
      </c>
      <c r="E27" s="23">
        <v>2045.175</v>
      </c>
      <c r="F27" s="23">
        <v>2065.627</v>
      </c>
      <c r="G27" s="19">
        <v>8.4603307954843762E-2</v>
      </c>
      <c r="H27" s="23">
        <v>2082.5650000000001</v>
      </c>
      <c r="I27" s="23">
        <v>2089.7919999999999</v>
      </c>
      <c r="J27" s="23">
        <v>2097.0430000000001</v>
      </c>
      <c r="K27" s="23">
        <v>2104.33</v>
      </c>
      <c r="L27" s="23"/>
      <c r="M27" s="23"/>
      <c r="N27" s="23"/>
      <c r="O27" s="23">
        <v>2117.5152499999999</v>
      </c>
      <c r="P27" s="23">
        <v>2138.7697499999999</v>
      </c>
      <c r="Q27" s="23">
        <v>2160.2377499999998</v>
      </c>
      <c r="R27" s="23"/>
      <c r="S27" s="25"/>
    </row>
    <row r="28" spans="1:19" s="5" customFormat="1" ht="12.75" x14ac:dyDescent="0.2">
      <c r="A28" s="6" t="s">
        <v>24</v>
      </c>
      <c r="B28" s="3"/>
      <c r="C28" s="23">
        <v>2000.01814388098</v>
      </c>
      <c r="D28" s="23">
        <v>2000.01814388098</v>
      </c>
      <c r="E28" s="23">
        <v>2000.01814388098</v>
      </c>
      <c r="F28" s="23">
        <v>2050.0185974780002</v>
      </c>
      <c r="G28" s="19">
        <v>7.6407769744289936E-2</v>
      </c>
      <c r="H28" s="23">
        <v>2100.0190510750199</v>
      </c>
      <c r="I28" s="23">
        <v>2100.0190510750199</v>
      </c>
      <c r="J28" s="23">
        <v>2100.0190510750199</v>
      </c>
      <c r="K28" s="23">
        <v>2100.0190510750199</v>
      </c>
      <c r="L28" s="23"/>
      <c r="M28" s="23"/>
      <c r="N28" s="23"/>
      <c r="O28" s="23">
        <v>2200.0199582690698</v>
      </c>
      <c r="P28" s="23">
        <v>2237.5202984668399</v>
      </c>
      <c r="Q28" s="23">
        <v>2500.0226798512199</v>
      </c>
      <c r="R28" s="23">
        <v>2584.2156548877101</v>
      </c>
      <c r="S28" s="25">
        <v>2250.0204118660999</v>
      </c>
    </row>
    <row r="29" spans="1:19" s="5" customFormat="1" ht="12.75" x14ac:dyDescent="0.2">
      <c r="A29" s="6" t="s">
        <v>17</v>
      </c>
      <c r="B29" s="3"/>
      <c r="C29" s="23">
        <v>2024</v>
      </c>
      <c r="D29" s="23">
        <v>2050</v>
      </c>
      <c r="E29" s="23">
        <v>2000</v>
      </c>
      <c r="F29" s="23">
        <v>2050</v>
      </c>
      <c r="G29" s="19">
        <v>7.6398004725649782E-2</v>
      </c>
      <c r="H29" s="23">
        <v>2250</v>
      </c>
      <c r="I29" s="23" t="s">
        <v>16</v>
      </c>
      <c r="J29" s="23" t="s">
        <v>16</v>
      </c>
      <c r="K29" s="23" t="s">
        <v>16</v>
      </c>
      <c r="L29" s="23"/>
      <c r="M29" s="23"/>
      <c r="N29" s="23"/>
      <c r="O29" s="23">
        <v>2367</v>
      </c>
      <c r="P29" s="23">
        <v>2489</v>
      </c>
      <c r="Q29" s="23">
        <v>2612</v>
      </c>
      <c r="R29" s="23"/>
      <c r="S29" s="25"/>
    </row>
    <row r="30" spans="1:19" s="5" customFormat="1" ht="12.75" x14ac:dyDescent="0.2">
      <c r="A30" s="6" t="s">
        <v>36</v>
      </c>
      <c r="B30" s="3"/>
      <c r="C30" s="23">
        <v>1980</v>
      </c>
      <c r="D30" s="23">
        <v>2000</v>
      </c>
      <c r="E30" s="23">
        <v>2050</v>
      </c>
      <c r="F30" s="23">
        <v>2050</v>
      </c>
      <c r="G30" s="19">
        <v>7.6398004725649782E-2</v>
      </c>
      <c r="H30" s="23">
        <v>2100</v>
      </c>
      <c r="I30" s="23">
        <v>2100</v>
      </c>
      <c r="J30" s="23">
        <v>2100</v>
      </c>
      <c r="K30" s="23">
        <v>2100</v>
      </c>
      <c r="L30" s="23"/>
      <c r="M30" s="23"/>
      <c r="N30" s="23"/>
      <c r="O30" s="23">
        <v>2150</v>
      </c>
      <c r="P30" s="23">
        <v>2250</v>
      </c>
      <c r="Q30" s="23">
        <v>2237.5113347072202</v>
      </c>
      <c r="R30" s="23"/>
      <c r="S30" s="25">
        <v>2000</v>
      </c>
    </row>
    <row r="31" spans="1:19" s="5" customFormat="1" ht="12.75" x14ac:dyDescent="0.2">
      <c r="A31" s="6" t="s">
        <v>48</v>
      </c>
      <c r="B31" s="3"/>
      <c r="C31" s="23">
        <v>2010.3738963513299</v>
      </c>
      <c r="D31" s="23">
        <v>2020.1875942004599</v>
      </c>
      <c r="E31" s="23">
        <v>2030.0012920495899</v>
      </c>
      <c r="F31" s="23">
        <v>2039.8149898987199</v>
      </c>
      <c r="G31" s="19">
        <v>7.1050139090952952E-2</v>
      </c>
      <c r="H31" s="23">
        <v>2049.6286877478601</v>
      </c>
      <c r="I31" s="23">
        <v>2059.4423855969899</v>
      </c>
      <c r="J31" s="23">
        <v>2069.2560834461201</v>
      </c>
      <c r="K31" s="23">
        <v>2079.0697812952499</v>
      </c>
      <c r="L31" s="23"/>
      <c r="M31" s="23"/>
      <c r="N31" s="23"/>
      <c r="O31" s="23">
        <v>2085.10514223869</v>
      </c>
      <c r="P31" s="23">
        <v>2083.9987328801999</v>
      </c>
      <c r="Q31" s="23">
        <v>2082.8923235216998</v>
      </c>
      <c r="R31" s="23">
        <v>2205.40707351113</v>
      </c>
      <c r="S31" s="25">
        <v>1826.9047985347499</v>
      </c>
    </row>
    <row r="32" spans="1:19" s="5" customFormat="1" ht="12.75" x14ac:dyDescent="0.2">
      <c r="A32" s="6" t="s">
        <v>29</v>
      </c>
      <c r="B32" s="3"/>
      <c r="C32" s="23">
        <v>2028.232</v>
      </c>
      <c r="D32" s="23">
        <v>2028.232</v>
      </c>
      <c r="E32" s="23">
        <v>2028.232</v>
      </c>
      <c r="F32" s="23">
        <v>2028.232</v>
      </c>
      <c r="G32" s="19">
        <v>6.4968233132055644E-2</v>
      </c>
      <c r="H32" s="23">
        <v>2072.3240000000001</v>
      </c>
      <c r="I32" s="23">
        <v>2072.3240000000001</v>
      </c>
      <c r="J32" s="23">
        <v>2072.3240000000001</v>
      </c>
      <c r="K32" s="23" t="s">
        <v>16</v>
      </c>
      <c r="L32" s="23"/>
      <c r="M32" s="23"/>
      <c r="N32" s="23"/>
      <c r="O32" s="23">
        <v>2094.37</v>
      </c>
      <c r="P32" s="23">
        <v>2138.462</v>
      </c>
      <c r="Q32" s="23"/>
      <c r="R32" s="23">
        <v>2372.1742286937201</v>
      </c>
      <c r="S32" s="25">
        <v>2072.32311248717</v>
      </c>
    </row>
    <row r="33" spans="1:19" s="5" customFormat="1" ht="12.75" x14ac:dyDescent="0.2">
      <c r="A33" s="6" t="s">
        <v>34</v>
      </c>
      <c r="B33" s="3"/>
      <c r="C33" s="23">
        <v>1964.80153954507</v>
      </c>
      <c r="D33" s="23">
        <v>1962.6741946151701</v>
      </c>
      <c r="E33" s="23">
        <v>1994.4149394061501</v>
      </c>
      <c r="F33" s="23">
        <v>2007.6543919150899</v>
      </c>
      <c r="G33" s="19">
        <v>5.4163503237117328E-2</v>
      </c>
      <c r="H33" s="23">
        <v>2021.1397399063301</v>
      </c>
      <c r="I33" s="23">
        <v>2036.10470087833</v>
      </c>
      <c r="J33" s="23">
        <v>2060.8274156860798</v>
      </c>
      <c r="K33" s="23">
        <v>2081.20003272026</v>
      </c>
      <c r="L33" s="23"/>
      <c r="M33" s="23"/>
      <c r="N33" s="23"/>
      <c r="O33" s="23" t="s">
        <v>16</v>
      </c>
      <c r="P33" s="23"/>
      <c r="Q33" s="23"/>
      <c r="R33" s="23"/>
      <c r="S33" s="25"/>
    </row>
    <row r="34" spans="1:19" s="5" customFormat="1" ht="12.75" x14ac:dyDescent="0.2">
      <c r="A34" s="6" t="s">
        <v>25</v>
      </c>
      <c r="B34" s="3"/>
      <c r="C34" s="23">
        <v>2050</v>
      </c>
      <c r="D34" s="23">
        <v>2100</v>
      </c>
      <c r="E34" s="23">
        <v>2050</v>
      </c>
      <c r="F34" s="23">
        <v>2000</v>
      </c>
      <c r="G34" s="19">
        <v>5.0144394854292465E-2</v>
      </c>
      <c r="H34" s="23">
        <v>2000</v>
      </c>
      <c r="I34" s="23">
        <v>2000</v>
      </c>
      <c r="J34" s="23">
        <v>2000</v>
      </c>
      <c r="K34" s="23">
        <v>2000</v>
      </c>
      <c r="L34" s="23"/>
      <c r="M34" s="23"/>
      <c r="N34" s="23"/>
      <c r="O34" s="23" t="s">
        <v>16</v>
      </c>
      <c r="P34" s="23"/>
      <c r="Q34" s="23"/>
      <c r="R34" s="23"/>
      <c r="S34" s="25"/>
    </row>
    <row r="35" spans="1:19" s="5" customFormat="1" ht="12.75" x14ac:dyDescent="0.2">
      <c r="A35" s="6" t="s">
        <v>15</v>
      </c>
      <c r="B35" s="3"/>
      <c r="C35" s="23">
        <v>2000</v>
      </c>
      <c r="D35" s="23">
        <v>2000</v>
      </c>
      <c r="E35" s="23">
        <v>2000</v>
      </c>
      <c r="F35" s="23">
        <v>2000</v>
      </c>
      <c r="G35" s="19">
        <v>5.0144394854292465E-2</v>
      </c>
      <c r="H35" s="23" t="s">
        <v>16</v>
      </c>
      <c r="I35" s="23" t="s">
        <v>16</v>
      </c>
      <c r="J35" s="23" t="s">
        <v>16</v>
      </c>
      <c r="K35" s="23" t="s">
        <v>16</v>
      </c>
      <c r="L35" s="23"/>
      <c r="M35" s="23"/>
      <c r="N35" s="23"/>
      <c r="O35" s="23" t="s">
        <v>16</v>
      </c>
      <c r="P35" s="23"/>
      <c r="Q35" s="23"/>
      <c r="R35" s="23"/>
      <c r="S35" s="25"/>
    </row>
    <row r="36" spans="1:19" s="5" customFormat="1" ht="12.75" x14ac:dyDescent="0.2">
      <c r="A36" s="6" t="s">
        <v>42</v>
      </c>
      <c r="B36" s="3"/>
      <c r="C36" s="23">
        <v>1983.3793344087301</v>
      </c>
      <c r="D36" s="23">
        <v>1992.4632040769</v>
      </c>
      <c r="E36" s="23">
        <v>1998.3891255925901</v>
      </c>
      <c r="F36" s="23">
        <v>1997.7683359217799</v>
      </c>
      <c r="G36" s="19">
        <v>4.8972610092822215E-2</v>
      </c>
      <c r="H36" s="23">
        <v>1995.44092938227</v>
      </c>
      <c r="I36" s="23">
        <v>1995.86880813275</v>
      </c>
      <c r="J36" s="23">
        <v>2002.21393937524</v>
      </c>
      <c r="K36" s="23">
        <v>2014.47632310974</v>
      </c>
      <c r="L36" s="23"/>
      <c r="M36" s="23"/>
      <c r="N36" s="23"/>
      <c r="O36" s="23">
        <v>2042.6107919532501</v>
      </c>
      <c r="P36" s="23">
        <v>2046.85007340265</v>
      </c>
      <c r="Q36" s="23">
        <v>2090.3488773274098</v>
      </c>
      <c r="R36" s="23"/>
      <c r="S36" s="25"/>
    </row>
    <row r="37" spans="1:19" s="5" customFormat="1" ht="12.75" x14ac:dyDescent="0.2">
      <c r="A37" s="6" t="s">
        <v>21</v>
      </c>
      <c r="B37" s="3"/>
      <c r="C37" s="23">
        <v>1999.75483354778</v>
      </c>
      <c r="D37" s="23">
        <v>1957.3702011058599</v>
      </c>
      <c r="E37" s="23">
        <v>1957.4262356348599</v>
      </c>
      <c r="F37" s="23">
        <v>1968.1886584926599</v>
      </c>
      <c r="G37" s="19">
        <v>3.3441143865928009E-2</v>
      </c>
      <c r="H37" s="23">
        <v>1980.69195349499</v>
      </c>
      <c r="I37" s="23">
        <v>1932.0041954790099</v>
      </c>
      <c r="J37" s="23">
        <v>1941.62795645663</v>
      </c>
      <c r="K37" s="23">
        <v>1985.8035211725601</v>
      </c>
      <c r="L37" s="23"/>
      <c r="M37" s="23"/>
      <c r="N37" s="23"/>
      <c r="O37" s="23">
        <v>1988.1328513384999</v>
      </c>
      <c r="P37" s="23">
        <v>2047.8791550900601</v>
      </c>
      <c r="Q37" s="23">
        <v>2097.3718593343501</v>
      </c>
      <c r="R37" s="23">
        <v>2228.25213325094</v>
      </c>
      <c r="S37" s="25">
        <v>1856.27957185426</v>
      </c>
    </row>
    <row r="38" spans="1:19" s="5" customFormat="1" ht="12.75" x14ac:dyDescent="0.2">
      <c r="A38" s="6" t="s">
        <v>23</v>
      </c>
      <c r="B38" s="3"/>
      <c r="C38" s="23">
        <v>1959.50442913904</v>
      </c>
      <c r="D38" s="23">
        <v>1949.8328883061299</v>
      </c>
      <c r="E38" s="23">
        <v>1940.1613474732301</v>
      </c>
      <c r="F38" s="23">
        <v>1930.48980664032</v>
      </c>
      <c r="G38" s="19">
        <v>1.3646524883339466E-2</v>
      </c>
      <c r="H38" s="23">
        <v>1945.404391368</v>
      </c>
      <c r="I38" s="23">
        <v>1972.61203887597</v>
      </c>
      <c r="J38" s="23">
        <v>1999.8196863839401</v>
      </c>
      <c r="K38" s="23">
        <v>2027.0273338919201</v>
      </c>
      <c r="L38" s="23"/>
      <c r="M38" s="23"/>
      <c r="N38" s="23"/>
      <c r="O38" s="23">
        <v>2057.2635421035702</v>
      </c>
      <c r="P38" s="23">
        <v>2033.75289830164</v>
      </c>
      <c r="Q38" s="23">
        <v>1975.2577416413201</v>
      </c>
      <c r="R38" s="23">
        <v>2232.5522904484501</v>
      </c>
      <c r="S38" s="25">
        <v>2022.0913940155101</v>
      </c>
    </row>
    <row r="39" spans="1:19" s="5" customFormat="1" ht="12.75" x14ac:dyDescent="0.2">
      <c r="A39" s="6" t="s">
        <v>22</v>
      </c>
      <c r="B39" s="3"/>
      <c r="C39" s="23">
        <v>1960</v>
      </c>
      <c r="D39" s="23">
        <v>1960</v>
      </c>
      <c r="E39" s="23">
        <v>1950</v>
      </c>
      <c r="F39" s="23">
        <v>1930</v>
      </c>
      <c r="G39" s="19">
        <v>1.3389341034392229E-2</v>
      </c>
      <c r="H39" s="23">
        <v>1920</v>
      </c>
      <c r="I39" s="23">
        <v>1940</v>
      </c>
      <c r="J39" s="23">
        <v>2020</v>
      </c>
      <c r="K39" s="23">
        <v>2130</v>
      </c>
      <c r="L39" s="23"/>
      <c r="M39" s="23"/>
      <c r="N39" s="23"/>
      <c r="O39" s="23" t="s">
        <v>16</v>
      </c>
      <c r="P39" s="23"/>
      <c r="Q39" s="23"/>
      <c r="R39" s="23"/>
      <c r="S39" s="25"/>
    </row>
    <row r="40" spans="1:19" s="5" customFormat="1" ht="12.75" x14ac:dyDescent="0.2">
      <c r="A40" s="6" t="s">
        <v>44</v>
      </c>
      <c r="B40" s="3"/>
      <c r="C40" s="23">
        <v>1925</v>
      </c>
      <c r="D40" s="23">
        <v>1900</v>
      </c>
      <c r="E40" s="23">
        <v>1875</v>
      </c>
      <c r="F40" s="23">
        <v>1875</v>
      </c>
      <c r="G40" s="19">
        <v>-1.5489629824100813E-2</v>
      </c>
      <c r="H40" s="23">
        <v>1830</v>
      </c>
      <c r="I40" s="23">
        <v>1830</v>
      </c>
      <c r="J40" s="23">
        <v>1830</v>
      </c>
      <c r="K40" s="23">
        <v>1830</v>
      </c>
      <c r="L40" s="23"/>
      <c r="M40" s="23"/>
      <c r="N40" s="23"/>
      <c r="O40" s="23">
        <v>1880</v>
      </c>
      <c r="P40" s="23">
        <v>1890</v>
      </c>
      <c r="Q40" s="23">
        <v>1915.5425</v>
      </c>
      <c r="R40" s="23">
        <v>1901.27</v>
      </c>
      <c r="S40" s="25">
        <v>1730</v>
      </c>
    </row>
    <row r="41" spans="1:19" s="5" customFormat="1" ht="12.75" x14ac:dyDescent="0.2">
      <c r="A41" s="6" t="s">
        <v>33</v>
      </c>
      <c r="B41" s="3"/>
      <c r="C41" s="23">
        <v>1890</v>
      </c>
      <c r="D41" s="23">
        <v>1865</v>
      </c>
      <c r="E41" s="23">
        <v>1840</v>
      </c>
      <c r="F41" s="23">
        <v>1815</v>
      </c>
      <c r="G41" s="19">
        <v>-4.6993961669729585E-2</v>
      </c>
      <c r="H41" s="23">
        <v>1790</v>
      </c>
      <c r="I41" s="23">
        <v>1765</v>
      </c>
      <c r="J41" s="23">
        <v>1740</v>
      </c>
      <c r="K41" s="23">
        <v>1715</v>
      </c>
      <c r="L41" s="23"/>
      <c r="M41" s="23"/>
      <c r="N41" s="23"/>
      <c r="O41" s="23" t="s">
        <v>16</v>
      </c>
      <c r="P41" s="23"/>
      <c r="Q41" s="23"/>
      <c r="R41" s="23"/>
      <c r="S41" s="25"/>
    </row>
    <row r="42" spans="1:19" s="5" customFormat="1" ht="12.75" x14ac:dyDescent="0.2">
      <c r="A42" s="6" t="s">
        <v>26</v>
      </c>
      <c r="B42" s="3"/>
      <c r="C42" s="23">
        <v>2000</v>
      </c>
      <c r="D42" s="23">
        <v>1900</v>
      </c>
      <c r="E42" s="23">
        <v>1800</v>
      </c>
      <c r="F42" s="23">
        <v>1700</v>
      </c>
      <c r="G42" s="19">
        <v>-0.10737726437385141</v>
      </c>
      <c r="H42" s="23">
        <v>1750</v>
      </c>
      <c r="I42" s="23">
        <v>1750</v>
      </c>
      <c r="J42" s="23">
        <v>1750</v>
      </c>
      <c r="K42" s="23">
        <v>1750</v>
      </c>
      <c r="L42" s="23"/>
      <c r="M42" s="23"/>
      <c r="N42" s="23"/>
      <c r="O42" s="23">
        <v>1800</v>
      </c>
      <c r="P42" s="23">
        <v>1800</v>
      </c>
      <c r="Q42" s="23"/>
      <c r="R42" s="23"/>
      <c r="S42" s="25">
        <v>1650</v>
      </c>
    </row>
    <row r="43" spans="1:19" s="5" customFormat="1" ht="12.75" x14ac:dyDescent="0.2">
      <c r="A43" s="6"/>
      <c r="B43" s="3"/>
      <c r="C43" s="23"/>
      <c r="D43" s="23"/>
      <c r="E43" s="23"/>
      <c r="F43" s="23"/>
      <c r="G43" s="19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5"/>
    </row>
    <row r="44" spans="1:19" s="5" customFormat="1" ht="12.75" x14ac:dyDescent="0.2">
      <c r="A44" s="6"/>
      <c r="B44" s="3"/>
      <c r="C44" s="23"/>
      <c r="D44" s="23"/>
      <c r="E44" s="23"/>
      <c r="F44" s="23"/>
      <c r="G44" s="19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5"/>
    </row>
    <row r="45" spans="1:19" s="5" customFormat="1" ht="12.75" x14ac:dyDescent="0.2">
      <c r="A45" s="6"/>
      <c r="B45" s="3"/>
      <c r="C45" s="23"/>
      <c r="D45" s="23"/>
      <c r="E45" s="23"/>
      <c r="F45" s="23"/>
      <c r="G45" s="19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5"/>
    </row>
    <row r="46" spans="1:19" s="5" customFormat="1" ht="12.75" x14ac:dyDescent="0.2">
      <c r="A46" s="6"/>
      <c r="B46" s="3"/>
      <c r="C46" s="23"/>
      <c r="D46" s="23"/>
      <c r="E46" s="23"/>
      <c r="F46" s="23"/>
      <c r="G46" s="19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5"/>
    </row>
    <row r="47" spans="1:19" s="5" customFormat="1" ht="12.75" x14ac:dyDescent="0.2">
      <c r="A47" s="6"/>
      <c r="B47" s="3"/>
      <c r="C47" s="23"/>
      <c r="D47" s="23"/>
      <c r="E47" s="23"/>
      <c r="F47" s="23"/>
      <c r="G47" s="19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5"/>
    </row>
    <row r="48" spans="1:19" s="5" customFormat="1" ht="12.75" x14ac:dyDescent="0.2">
      <c r="A48" s="6"/>
      <c r="B48" s="3"/>
      <c r="C48" s="23"/>
      <c r="D48" s="23"/>
      <c r="E48" s="23"/>
      <c r="F48" s="23"/>
      <c r="G48" s="19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s="5" customFormat="1" ht="12.75" x14ac:dyDescent="0.2">
      <c r="A49" s="6"/>
      <c r="B49" s="3"/>
      <c r="C49" s="23"/>
      <c r="D49" s="23"/>
      <c r="E49" s="23"/>
      <c r="F49" s="23"/>
      <c r="G49" s="19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s="5" customFormat="1" ht="12.75" x14ac:dyDescent="0.2">
      <c r="A50" s="6"/>
      <c r="B50" s="3"/>
      <c r="C50" s="23"/>
      <c r="D50" s="23"/>
      <c r="E50" s="23"/>
      <c r="F50" s="23"/>
      <c r="G50" s="19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s="5" customFormat="1" ht="12.75" x14ac:dyDescent="0.2">
      <c r="A51" s="6"/>
      <c r="B51" s="3"/>
      <c r="C51" s="23"/>
      <c r="D51" s="23"/>
      <c r="E51" s="23"/>
      <c r="F51" s="23"/>
      <c r="G51" s="19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s="5" customFormat="1" ht="12.75" x14ac:dyDescent="0.2">
      <c r="A52" s="6"/>
      <c r="B52" s="3"/>
      <c r="C52" s="23"/>
      <c r="D52" s="23"/>
      <c r="E52" s="23"/>
      <c r="F52" s="23"/>
      <c r="G52" s="19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s="5" customFormat="1" ht="12.75" x14ac:dyDescent="0.2">
      <c r="A53" s="6"/>
      <c r="B53" s="3"/>
      <c r="C53" s="23"/>
      <c r="D53" s="23"/>
      <c r="E53" s="23"/>
      <c r="F53" s="23"/>
      <c r="G53" s="19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s="5" customFormat="1" ht="12.75" x14ac:dyDescent="0.2">
      <c r="A54" s="6"/>
      <c r="B54" s="3"/>
      <c r="C54" s="23"/>
      <c r="D54" s="23"/>
      <c r="E54" s="23"/>
      <c r="F54" s="23"/>
      <c r="G54" s="19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s="5" customFormat="1" ht="12.75" x14ac:dyDescent="0.2">
      <c r="A55" s="6"/>
      <c r="B55" s="3"/>
      <c r="C55" s="23"/>
      <c r="D55" s="23"/>
      <c r="E55" s="23"/>
      <c r="F55" s="23"/>
      <c r="G55" s="19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s="5" customFormat="1" ht="12.75" x14ac:dyDescent="0.2">
      <c r="A56" s="6"/>
      <c r="B56" s="3"/>
      <c r="C56" s="23"/>
      <c r="D56" s="23"/>
      <c r="E56" s="23"/>
      <c r="F56" s="23"/>
      <c r="G56" s="19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s="5" customFormat="1" ht="12.75" x14ac:dyDescent="0.2">
      <c r="A57" s="6"/>
      <c r="B57" s="3"/>
      <c r="C57" s="23"/>
      <c r="D57" s="23"/>
      <c r="E57" s="23"/>
      <c r="F57" s="23"/>
      <c r="G57" s="19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s="5" customFormat="1" ht="12.75" x14ac:dyDescent="0.2">
      <c r="A58" s="6"/>
      <c r="B58" s="3"/>
      <c r="C58" s="23"/>
      <c r="D58" s="23"/>
      <c r="E58" s="23"/>
      <c r="F58" s="23"/>
      <c r="G58" s="19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s="5" customFormat="1" ht="12.75" x14ac:dyDescent="0.2">
      <c r="A59" s="6"/>
      <c r="B59" s="3"/>
      <c r="C59" s="23"/>
      <c r="D59" s="23"/>
      <c r="E59" s="23"/>
      <c r="F59" s="23"/>
      <c r="G59" s="19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s="5" customFormat="1" ht="12.75" x14ac:dyDescent="0.2">
      <c r="A60" s="6"/>
      <c r="B60" s="3"/>
      <c r="C60" s="23"/>
      <c r="D60" s="23"/>
      <c r="E60" s="23"/>
      <c r="F60" s="23"/>
      <c r="G60" s="19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s="5" customFormat="1" ht="12.75" x14ac:dyDescent="0.2">
      <c r="A61" s="6"/>
      <c r="B61" s="3"/>
      <c r="C61" s="23"/>
      <c r="D61" s="23"/>
      <c r="E61" s="23"/>
      <c r="F61" s="23"/>
      <c r="G61" s="19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s="5" customFormat="1" ht="12.75" x14ac:dyDescent="0.2">
      <c r="A62" s="6"/>
      <c r="B62" s="3"/>
      <c r="C62" s="23"/>
      <c r="D62" s="23"/>
      <c r="E62" s="23"/>
      <c r="F62" s="23"/>
      <c r="G62" s="19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s="5" customFormat="1" ht="12.75" x14ac:dyDescent="0.2">
      <c r="A63" s="6"/>
      <c r="B63" s="3"/>
      <c r="C63" s="23"/>
      <c r="D63" s="23"/>
      <c r="E63" s="23"/>
      <c r="F63" s="23"/>
      <c r="G63" s="19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spans="1:18" s="5" customFormat="1" ht="12.75" x14ac:dyDescent="0.2">
      <c r="A64" s="6"/>
      <c r="B64" s="3"/>
      <c r="C64" s="23"/>
      <c r="D64" s="23"/>
      <c r="E64" s="23"/>
      <c r="F64" s="23"/>
      <c r="G64" s="19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spans="1:18" s="5" customFormat="1" ht="12.75" x14ac:dyDescent="0.2">
      <c r="A65" s="6"/>
      <c r="B65" s="3"/>
      <c r="C65" s="23"/>
      <c r="D65" s="23"/>
      <c r="E65" s="23"/>
      <c r="F65" s="23"/>
      <c r="G65" s="19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1:18" s="5" customFormat="1" ht="12.75" x14ac:dyDescent="0.2">
      <c r="A66" s="6"/>
      <c r="B66" s="3"/>
      <c r="C66" s="23"/>
      <c r="D66" s="23"/>
      <c r="E66" s="23"/>
      <c r="F66" s="23"/>
      <c r="G66" s="19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s="5" customFormat="1" ht="12.75" x14ac:dyDescent="0.2">
      <c r="A67" s="6"/>
      <c r="B67" s="3"/>
      <c r="C67" s="23"/>
      <c r="D67" s="23"/>
      <c r="E67" s="23"/>
      <c r="F67" s="23"/>
      <c r="G67" s="19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s="5" customFormat="1" ht="12.75" x14ac:dyDescent="0.2">
      <c r="A68" s="6"/>
      <c r="B68" s="3"/>
      <c r="C68" s="23"/>
      <c r="D68" s="23"/>
      <c r="E68" s="23"/>
      <c r="F68" s="23"/>
      <c r="G68" s="19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s="5" customFormat="1" ht="12.75" x14ac:dyDescent="0.2">
      <c r="A69" s="6"/>
      <c r="B69" s="3"/>
      <c r="C69" s="23"/>
      <c r="D69" s="23"/>
      <c r="E69" s="23"/>
      <c r="F69" s="23"/>
      <c r="G69" s="19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s="5" customFormat="1" ht="12.75" x14ac:dyDescent="0.2">
      <c r="A70" s="6"/>
      <c r="B70" s="3"/>
      <c r="C70" s="23"/>
      <c r="D70" s="23"/>
      <c r="E70" s="23"/>
      <c r="F70" s="23"/>
      <c r="G70" s="19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s="5" customFormat="1" ht="12.75" x14ac:dyDescent="0.2">
      <c r="A71" s="6"/>
      <c r="B71" s="3"/>
      <c r="C71" s="23"/>
      <c r="D71" s="23"/>
      <c r="E71" s="23"/>
      <c r="F71" s="23"/>
      <c r="G71" s="19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s="5" customFormat="1" ht="12.75" x14ac:dyDescent="0.2">
      <c r="A72" s="6"/>
      <c r="B72" s="3"/>
      <c r="C72" s="23"/>
      <c r="D72" s="23"/>
      <c r="E72" s="23"/>
      <c r="F72" s="23"/>
      <c r="G72" s="19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s="5" customFormat="1" ht="12.75" x14ac:dyDescent="0.2">
      <c r="A73" s="6"/>
      <c r="B73" s="3"/>
      <c r="C73" s="23"/>
      <c r="D73" s="23"/>
      <c r="E73" s="23"/>
      <c r="F73" s="23"/>
      <c r="G73" s="19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s="5" customFormat="1" ht="12.75" x14ac:dyDescent="0.2">
      <c r="A74" s="6"/>
      <c r="B74" s="3"/>
      <c r="C74" s="23"/>
      <c r="D74" s="23"/>
      <c r="E74" s="23"/>
      <c r="F74" s="23"/>
      <c r="G74" s="19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s="5" customFormat="1" ht="12.75" x14ac:dyDescent="0.2">
      <c r="A75" s="6"/>
      <c r="B75" s="3"/>
      <c r="C75" s="23"/>
      <c r="D75" s="23"/>
      <c r="E75" s="23"/>
      <c r="F75" s="23"/>
      <c r="G75" s="19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s="5" customFormat="1" ht="12.75" x14ac:dyDescent="0.2">
      <c r="A76" s="6"/>
      <c r="B76" s="3"/>
      <c r="C76" s="23"/>
      <c r="D76" s="23"/>
      <c r="E76" s="23"/>
      <c r="F76" s="23"/>
      <c r="G76" s="19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s="5" customFormat="1" ht="12.75" x14ac:dyDescent="0.2">
      <c r="A77" s="6"/>
      <c r="B77" s="3"/>
      <c r="C77" s="23"/>
      <c r="D77" s="23"/>
      <c r="E77" s="23"/>
      <c r="F77" s="23"/>
      <c r="G77" s="19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s="5" customFormat="1" ht="12.75" x14ac:dyDescent="0.2">
      <c r="A78" s="6"/>
      <c r="B78" s="3"/>
      <c r="C78" s="23"/>
      <c r="D78" s="23"/>
      <c r="E78" s="23"/>
      <c r="F78" s="23"/>
      <c r="G78" s="19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s="5" customFormat="1" ht="12.75" x14ac:dyDescent="0.2">
      <c r="A79" s="6"/>
      <c r="B79" s="3"/>
      <c r="C79" s="23"/>
      <c r="D79" s="23"/>
      <c r="E79" s="23"/>
      <c r="F79" s="23"/>
      <c r="G79" s="19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s="5" customFormat="1" ht="12.75" x14ac:dyDescent="0.2">
      <c r="A80" s="6"/>
      <c r="B80" s="3"/>
      <c r="C80" s="23"/>
      <c r="D80" s="23"/>
      <c r="E80" s="23"/>
      <c r="F80" s="23"/>
      <c r="G80" s="19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s="5" customFormat="1" ht="12.75" x14ac:dyDescent="0.2">
      <c r="A81" s="6"/>
      <c r="B81" s="3"/>
      <c r="C81" s="23"/>
      <c r="D81" s="23"/>
      <c r="E81" s="23"/>
      <c r="F81" s="23"/>
      <c r="G81" s="19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s="5" customFormat="1" ht="12.75" x14ac:dyDescent="0.2">
      <c r="A82" s="6"/>
      <c r="B82" s="3"/>
      <c r="C82" s="23"/>
      <c r="D82" s="23"/>
      <c r="E82" s="23"/>
      <c r="F82" s="23"/>
      <c r="G82" s="19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s="5" customFormat="1" ht="12.75" x14ac:dyDescent="0.2">
      <c r="A83" s="6"/>
      <c r="B83" s="3"/>
      <c r="C83" s="23"/>
      <c r="D83" s="23"/>
      <c r="E83" s="23"/>
      <c r="F83" s="23"/>
      <c r="G83" s="19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s="5" customFormat="1" ht="12.75" x14ac:dyDescent="0.2">
      <c r="A84" s="6"/>
      <c r="B84" s="3"/>
      <c r="C84" s="23"/>
      <c r="D84" s="23"/>
      <c r="E84" s="23"/>
      <c r="F84" s="23"/>
      <c r="G84" s="19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s="5" customFormat="1" ht="12.75" x14ac:dyDescent="0.2">
      <c r="A85" s="6"/>
      <c r="B85" s="3"/>
      <c r="C85" s="23"/>
      <c r="D85" s="23"/>
      <c r="E85" s="23"/>
      <c r="F85" s="23"/>
      <c r="G85" s="19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s="5" customFormat="1" ht="12.75" x14ac:dyDescent="0.2">
      <c r="A86" s="6"/>
      <c r="B86" s="3"/>
      <c r="C86" s="23"/>
      <c r="D86" s="23"/>
      <c r="E86" s="23"/>
      <c r="F86" s="23"/>
      <c r="G86" s="19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s="5" customFormat="1" ht="12.75" x14ac:dyDescent="0.2">
      <c r="A87" s="6"/>
      <c r="B87" s="3"/>
      <c r="C87" s="23"/>
      <c r="D87" s="23"/>
      <c r="E87" s="23"/>
      <c r="F87" s="23"/>
      <c r="G87" s="19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s="5" customFormat="1" ht="12.75" x14ac:dyDescent="0.2">
      <c r="A88" s="6"/>
      <c r="B88" s="3"/>
      <c r="C88" s="23"/>
      <c r="D88" s="23"/>
      <c r="E88" s="23"/>
      <c r="F88" s="23"/>
      <c r="G88" s="19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s="5" customFormat="1" ht="12.75" x14ac:dyDescent="0.2">
      <c r="A89" s="6"/>
      <c r="B89" s="3"/>
      <c r="C89" s="23"/>
      <c r="D89" s="23"/>
      <c r="E89" s="23"/>
      <c r="F89" s="23"/>
      <c r="G89" s="19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s="5" customFormat="1" ht="12.75" x14ac:dyDescent="0.2">
      <c r="A90" s="6"/>
      <c r="B90" s="3"/>
      <c r="C90" s="23"/>
      <c r="D90" s="23"/>
      <c r="E90" s="23"/>
      <c r="F90" s="23"/>
      <c r="G90" s="19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s="5" customFormat="1" ht="12.75" x14ac:dyDescent="0.2">
      <c r="A91" s="6"/>
      <c r="B91" s="3"/>
      <c r="C91" s="23"/>
      <c r="D91" s="23"/>
      <c r="E91" s="23"/>
      <c r="F91" s="23"/>
      <c r="G91" s="19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s="5" customFormat="1" ht="12.75" x14ac:dyDescent="0.2">
      <c r="A92" s="6"/>
      <c r="B92" s="3"/>
      <c r="C92" s="23"/>
      <c r="D92" s="23"/>
      <c r="E92" s="23"/>
      <c r="F92" s="23"/>
      <c r="G92" s="19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s="5" customFormat="1" ht="12.75" x14ac:dyDescent="0.2">
      <c r="A93" s="6"/>
      <c r="B93" s="3"/>
      <c r="C93" s="23"/>
      <c r="D93" s="23"/>
      <c r="E93" s="23"/>
      <c r="F93" s="23"/>
      <c r="G93" s="19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s="5" customFormat="1" ht="12.75" x14ac:dyDescent="0.2">
      <c r="A94" s="6"/>
      <c r="B94" s="3"/>
      <c r="C94" s="23"/>
      <c r="D94" s="23"/>
      <c r="E94" s="23"/>
      <c r="F94" s="23"/>
      <c r="G94" s="19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s="5" customFormat="1" ht="12.75" x14ac:dyDescent="0.2">
      <c r="A95" s="6"/>
      <c r="B95" s="3"/>
      <c r="C95" s="23"/>
      <c r="D95" s="23"/>
      <c r="E95" s="23"/>
      <c r="F95" s="23"/>
      <c r="G95" s="19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s="5" customFormat="1" ht="12.75" x14ac:dyDescent="0.2">
      <c r="A96" s="6"/>
      <c r="B96" s="3"/>
      <c r="C96" s="23"/>
      <c r="D96" s="23"/>
      <c r="E96" s="23"/>
      <c r="F96" s="23"/>
      <c r="G96" s="19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s="5" customFormat="1" ht="12.75" x14ac:dyDescent="0.2">
      <c r="A97" s="6"/>
      <c r="B97" s="3"/>
      <c r="C97" s="23"/>
      <c r="D97" s="23"/>
      <c r="E97" s="23"/>
      <c r="F97" s="23"/>
      <c r="G97" s="19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s="5" customFormat="1" ht="12.75" x14ac:dyDescent="0.2">
      <c r="A98" s="6"/>
      <c r="B98" s="3"/>
      <c r="C98" s="23"/>
      <c r="D98" s="23"/>
      <c r="E98" s="23"/>
      <c r="F98" s="23"/>
      <c r="G98" s="19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s="5" customFormat="1" ht="12.75" x14ac:dyDescent="0.2">
      <c r="A99" s="6"/>
      <c r="B99" s="3"/>
      <c r="C99" s="23"/>
      <c r="D99" s="23"/>
      <c r="E99" s="23"/>
      <c r="F99" s="23"/>
      <c r="G99" s="19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s="5" customFormat="1" ht="12.75" x14ac:dyDescent="0.2">
      <c r="A100" s="6"/>
      <c r="B100" s="3"/>
      <c r="C100" s="23"/>
      <c r="D100" s="23"/>
      <c r="E100" s="23"/>
      <c r="F100" s="23"/>
      <c r="G100" s="19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3BA4-668B-4802-B026-16C3D911C2CF}">
  <dimension ref="A1:W100"/>
  <sheetViews>
    <sheetView workbookViewId="0">
      <selection activeCell="T7" sqref="T7:W10"/>
    </sheetView>
  </sheetViews>
  <sheetFormatPr defaultRowHeight="15" x14ac:dyDescent="0.25"/>
  <cols>
    <col min="1" max="1" width="25.28515625" customWidth="1"/>
    <col min="2" max="2" width="15.85546875" customWidth="1"/>
    <col min="3" max="3" width="9.7109375" bestFit="1" customWidth="1"/>
    <col min="4" max="4" width="10.140625" bestFit="1" customWidth="1"/>
    <col min="5" max="5" width="9.42578125" bestFit="1" customWidth="1"/>
    <col min="6" max="6" width="9.85546875" bestFit="1" customWidth="1"/>
    <col min="7" max="7" width="10.85546875" bestFit="1" customWidth="1"/>
    <col min="8" max="8" width="9.85546875" bestFit="1" customWidth="1"/>
    <col min="9" max="9" width="10.140625" bestFit="1" customWidth="1"/>
    <col min="10" max="10" width="9.42578125" bestFit="1" customWidth="1"/>
    <col min="11" max="12" width="9.85546875" bestFit="1" customWidth="1"/>
    <col min="13" max="13" width="9.7109375" bestFit="1" customWidth="1"/>
    <col min="14" max="14" width="4.28515625" customWidth="1"/>
    <col min="15" max="17" width="10.7109375" customWidth="1"/>
    <col min="18" max="19" width="12.7109375" customWidth="1"/>
  </cols>
  <sheetData>
    <row r="1" spans="1:23" s="5" customFormat="1" ht="18" x14ac:dyDescent="0.25">
      <c r="A1" s="2" t="s">
        <v>49</v>
      </c>
      <c r="B1" s="3"/>
      <c r="C1"/>
      <c r="D1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3" s="5" customFormat="1" ht="12.75" x14ac:dyDescent="0.2">
      <c r="A2" s="6"/>
      <c r="B2" s="7" t="s">
        <v>1</v>
      </c>
      <c r="C2" s="3"/>
      <c r="D2" s="3"/>
      <c r="E2" s="3"/>
      <c r="F2" s="3"/>
      <c r="G2" s="4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3" s="5" customFormat="1" ht="12.75" x14ac:dyDescent="0.2">
      <c r="A3" s="8" t="s">
        <v>3</v>
      </c>
      <c r="B3" s="3"/>
      <c r="C3" s="3"/>
      <c r="D3" s="3"/>
      <c r="E3" s="3"/>
      <c r="F3" s="3"/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3" s="5" customFormat="1" ht="12.75" x14ac:dyDescent="0.2">
      <c r="A4" s="10">
        <f>'[1]Crude Oil'!A4</f>
        <v>46006</v>
      </c>
      <c r="B4" s="14" t="str">
        <f>'[1]Crude Oil'!B4</f>
        <v xml:space="preserve">Spot Price </v>
      </c>
      <c r="C4" s="12"/>
      <c r="D4" s="12"/>
      <c r="E4" s="12"/>
      <c r="F4" s="12"/>
      <c r="G4" s="9" t="str">
        <f>'[1]Crude Oil'!G4</f>
        <v>% change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1" t="s">
        <v>5</v>
      </c>
      <c r="S4" s="11" t="s">
        <v>5</v>
      </c>
    </row>
    <row r="5" spans="1:23" s="5" customFormat="1" ht="12.75" x14ac:dyDescent="0.2">
      <c r="A5" s="13" t="s">
        <v>6</v>
      </c>
      <c r="B5" s="14" t="str">
        <f>'[1]Crude Oil'!B5</f>
        <v>on Survey Date</v>
      </c>
      <c r="C5" s="14">
        <f>'[1]Crude Oil'!C5</f>
        <v>46082</v>
      </c>
      <c r="D5" s="14">
        <f>'[1]Crude Oil'!D5</f>
        <v>46177</v>
      </c>
      <c r="E5" s="14">
        <f>'[1]Crude Oil'!E5</f>
        <v>46272</v>
      </c>
      <c r="F5" s="14">
        <f>'[1]Crude Oil'!F5</f>
        <v>46367</v>
      </c>
      <c r="G5" s="9" t="str">
        <f>'[1]Crude Oil'!G5</f>
        <v>from spot</v>
      </c>
      <c r="H5" s="14">
        <f>'[1]Crude Oil'!H5</f>
        <v>46462</v>
      </c>
      <c r="I5" s="14">
        <f>'[1]Crude Oil'!I5</f>
        <v>46557</v>
      </c>
      <c r="J5" s="14">
        <f>'[1]Crude Oil'!J5</f>
        <v>46652</v>
      </c>
      <c r="K5" s="14">
        <f>'[1]Crude Oil'!K5</f>
        <v>46747</v>
      </c>
      <c r="L5" s="14"/>
      <c r="M5" s="14"/>
      <c r="N5" s="14"/>
      <c r="O5" s="15">
        <f>'[1]Crude Oil'!O5</f>
        <v>2028</v>
      </c>
      <c r="P5" s="15">
        <f>'[1]Crude Oil'!P5</f>
        <v>2029</v>
      </c>
      <c r="Q5" s="15">
        <f>'[1]Crude Oil'!Q5</f>
        <v>2030</v>
      </c>
      <c r="R5" s="14" t="str">
        <f>'[1]Crude Oil'!R5</f>
        <v>2031-2035</v>
      </c>
      <c r="S5" s="14" t="str">
        <f>'[1]Crude Oil'!S5</f>
        <v>2031-2035</v>
      </c>
    </row>
    <row r="6" spans="1:23" s="5" customFormat="1" ht="12.75" x14ac:dyDescent="0.2">
      <c r="A6" s="10">
        <f>'[1]Crude Oil'!$A$6</f>
        <v>46010</v>
      </c>
      <c r="B6" s="3"/>
      <c r="C6" s="3" t="s">
        <v>8</v>
      </c>
      <c r="D6" s="3"/>
      <c r="E6" s="3"/>
      <c r="F6" s="3"/>
      <c r="G6" s="4"/>
      <c r="H6" s="3" t="s">
        <v>8</v>
      </c>
      <c r="I6" s="3"/>
      <c r="J6" s="3"/>
      <c r="K6" s="3"/>
      <c r="L6" s="3"/>
      <c r="M6" s="3"/>
      <c r="N6" s="3"/>
      <c r="O6" s="3"/>
      <c r="P6" s="3"/>
      <c r="Q6" s="3"/>
      <c r="R6" s="3" t="s">
        <v>8</v>
      </c>
      <c r="S6" s="3" t="s">
        <v>9</v>
      </c>
    </row>
    <row r="7" spans="1:23" s="16" customFormat="1" ht="12.75" x14ac:dyDescent="0.2">
      <c r="A7" s="16" t="s">
        <v>10</v>
      </c>
      <c r="B7" s="26">
        <v>4319.07</v>
      </c>
      <c r="C7" s="1">
        <f>IF(COUNT(C20:C200)&lt;&gt;0, AVERAGE(C20:C200), "")</f>
        <v>4187.2596164205343</v>
      </c>
      <c r="D7" s="1">
        <f>IF(COUNT(D20:D200)&lt;&gt;0, AVERAGE(D20:D200), "")</f>
        <v>4213.6572068104379</v>
      </c>
      <c r="E7" s="1">
        <f>IF(COUNT(E20:E200)&lt;&gt;0, AVERAGE(E20:E200), "")</f>
        <v>4242.7966287778281</v>
      </c>
      <c r="F7" s="1">
        <f>IF(COUNT(F20:F200)&lt;&gt;0, AVERAGE(F20:F200), "")</f>
        <v>4217.3783271811217</v>
      </c>
      <c r="G7" s="18">
        <f>AVERAGE(G20:G201)</f>
        <v>-2.3544807752335035E-2</v>
      </c>
      <c r="H7" s="1">
        <f>IF(COUNT(H20:H200)&lt;&gt;0, AVERAGE(H20:H200), "")</f>
        <v>4095.2217509094621</v>
      </c>
      <c r="I7" s="1">
        <f>IF(COUNT(I20:I200)&lt;&gt;0, AVERAGE(I20:I200), "")</f>
        <v>4020.0625275685202</v>
      </c>
      <c r="J7" s="1">
        <f>IF(COUNT(J20:J200)&lt;&gt;0, AVERAGE(J20:J200), "")</f>
        <v>3960.4768226254305</v>
      </c>
      <c r="K7" s="1">
        <f>IF(COUNT(K20:K200)&lt;&gt;0, AVERAGE(K20:K200), "")</f>
        <v>3912.9558394387304</v>
      </c>
      <c r="L7" s="1">
        <f>AVERAGE(C7:F7)</f>
        <v>4215.2729447974807</v>
      </c>
      <c r="M7" s="1">
        <f>AVERAGE(H7:K7)</f>
        <v>3997.1792351355361</v>
      </c>
      <c r="N7" s="1"/>
      <c r="O7" s="1">
        <f>IF(COUNT(O20:O200)&lt;&gt;0, AVERAGE(O20:O200), "")</f>
        <v>3710.9034909744337</v>
      </c>
      <c r="P7" s="1">
        <f>IF(COUNT(P20:P200)&lt;&gt;0, AVERAGE(P20:P200), "")</f>
        <v>3580.8584109131807</v>
      </c>
      <c r="Q7" s="1">
        <f>IF(COUNT(Q20:Q200)&lt;&gt;0, AVERAGE(Q20:Q200), "")</f>
        <v>3531.4825523441591</v>
      </c>
      <c r="R7" s="1">
        <f>IF(COUNT(R20:R200)&lt;&gt;0, AVERAGE(R20:R200), "")</f>
        <v>3752.9441025781221</v>
      </c>
      <c r="S7" s="1">
        <f>IF(COUNT(S20:S200)&lt;&gt;0, AVERAGE(S20:S200), "")</f>
        <v>2995.1156305321074</v>
      </c>
      <c r="T7" s="1">
        <f>O7</f>
        <v>3710.9034909744337</v>
      </c>
      <c r="U7" s="1">
        <f t="shared" ref="U7:V7" si="0">P7</f>
        <v>3580.8584109131807</v>
      </c>
      <c r="V7" s="1">
        <f t="shared" si="0"/>
        <v>3531.4825523441591</v>
      </c>
      <c r="W7" s="1">
        <f>S7</f>
        <v>2995.1156305321074</v>
      </c>
    </row>
    <row r="8" spans="1:23" s="5" customFormat="1" ht="12.75" x14ac:dyDescent="0.2">
      <c r="A8" s="6"/>
      <c r="B8" s="3"/>
      <c r="C8" s="1"/>
      <c r="D8" s="1"/>
      <c r="E8" s="1"/>
      <c r="F8" s="1"/>
      <c r="G8" s="19"/>
      <c r="H8" s="1"/>
      <c r="I8" s="1"/>
      <c r="J8" s="1"/>
      <c r="K8" s="1"/>
      <c r="L8" s="20">
        <f>AVERAGE(C11:F11)</f>
        <v>392.843610509467</v>
      </c>
      <c r="M8" s="20">
        <f>AVERAGE(H11:K11)</f>
        <v>630.79338532353415</v>
      </c>
      <c r="N8" s="20"/>
      <c r="O8" s="1"/>
      <c r="P8" s="1"/>
      <c r="Q8" s="1"/>
      <c r="R8" s="1"/>
      <c r="S8" s="1"/>
      <c r="T8" s="20">
        <f>O11</f>
        <v>730.45398217416096</v>
      </c>
      <c r="U8" s="20">
        <f t="shared" ref="U8:V8" si="1">P11</f>
        <v>788.64904050112784</v>
      </c>
      <c r="V8" s="20">
        <f t="shared" si="1"/>
        <v>930.75353163691545</v>
      </c>
      <c r="W8" s="20">
        <f>S11</f>
        <v>859.69052432815954</v>
      </c>
    </row>
    <row r="9" spans="1:23" s="5" customFormat="1" ht="12.75" x14ac:dyDescent="0.2">
      <c r="A9" s="6" t="s">
        <v>11</v>
      </c>
      <c r="B9" s="3"/>
      <c r="C9" s="20">
        <f>IF(COUNT(C20:C200)&lt;&gt;0, MAX(C20:C200), "")</f>
        <v>4750</v>
      </c>
      <c r="D9" s="20">
        <f>IF(COUNT(D20:D200)&lt;&gt;0, MAX(D20:D200), "")</f>
        <v>4800</v>
      </c>
      <c r="E9" s="20">
        <f>IF(COUNT(E20:E200)&lt;&gt;0, MAX(E20:E200), "")</f>
        <v>4860</v>
      </c>
      <c r="F9" s="20">
        <f>IF(COUNT(F20:F200)&lt;&gt;0, MAX(F20:F200), "")</f>
        <v>5055</v>
      </c>
      <c r="G9" s="21"/>
      <c r="H9" s="20">
        <f>IF(COUNT(H20:H200)&lt;&gt;0, MAX(H20:H200), "")</f>
        <v>5140</v>
      </c>
      <c r="I9" s="20">
        <f>IF(COUNT(I20:I200)&lt;&gt;0, MAX(I20:I200), "")</f>
        <v>5170</v>
      </c>
      <c r="J9" s="20">
        <f>IF(COUNT(J20:J200)&lt;&gt;0, MAX(J20:J200), "")</f>
        <v>5270</v>
      </c>
      <c r="K9" s="20">
        <f>IF(COUNT(K20:K200)&lt;&gt;0, MAX(K20:K200), "")</f>
        <v>5400</v>
      </c>
      <c r="L9" s="20">
        <f>L7+L8</f>
        <v>4608.1165553069477</v>
      </c>
      <c r="M9" s="20">
        <f>M7+M8</f>
        <v>4627.9726204590706</v>
      </c>
      <c r="N9" s="20"/>
      <c r="O9" s="20">
        <f>IF(COUNT(O20:O200)&lt;&gt;0, MAX(O20:O200), "")</f>
        <v>5003.3889774243999</v>
      </c>
      <c r="P9" s="20">
        <f>IF(COUNT(P20:P200)&lt;&gt;0, MAX(P20:P200), "")</f>
        <v>5088.48888986368</v>
      </c>
      <c r="Q9" s="20">
        <f>IF(COUNT(Q20:Q200)&lt;&gt;0, MAX(Q20:Q200), "")</f>
        <v>5211.4663981069898</v>
      </c>
      <c r="R9" s="20">
        <f>IF(COUNT(R20:R200)&lt;&gt;0, MAX(R20:R200), "")</f>
        <v>5536.6725110123898</v>
      </c>
      <c r="S9" s="20">
        <f>IF(COUNT(S20:S200)&lt;&gt;0, MAX(S20:S200), "")</f>
        <v>4612.4098457586497</v>
      </c>
      <c r="T9" s="24">
        <f>T8+T7</f>
        <v>4441.3574731485951</v>
      </c>
      <c r="U9" s="24">
        <f t="shared" ref="U9:W9" si="2">U8+U7</f>
        <v>4369.5074514143089</v>
      </c>
      <c r="V9" s="24">
        <f t="shared" si="2"/>
        <v>4462.2360839810744</v>
      </c>
      <c r="W9" s="24">
        <f t="shared" si="2"/>
        <v>3854.8061548602668</v>
      </c>
    </row>
    <row r="10" spans="1:23" s="5" customFormat="1" ht="12.75" x14ac:dyDescent="0.2">
      <c r="A10" s="6" t="s">
        <v>12</v>
      </c>
      <c r="B10" s="3"/>
      <c r="C10" s="20">
        <f>IF(COUNT(C20:C200)&lt;&gt;0, MIN(C20:C200), "")</f>
        <v>3500</v>
      </c>
      <c r="D10" s="20">
        <f>IF(COUNT(D20:D200)&lt;&gt;0, MIN(D20:D200), "")</f>
        <v>3000</v>
      </c>
      <c r="E10" s="20">
        <f>IF(COUNT(E20:E200)&lt;&gt;0, MIN(E20:E200), "")</f>
        <v>3100</v>
      </c>
      <c r="F10" s="20">
        <f>IF(COUNT(F20:F200)&lt;&gt;0, MIN(F20:F200), "")</f>
        <v>3150</v>
      </c>
      <c r="G10" s="21"/>
      <c r="H10" s="20">
        <f>IF(COUNT(H20:H200)&lt;&gt;0, MIN(H20:H200), "")</f>
        <v>2850</v>
      </c>
      <c r="I10" s="20">
        <f>IF(COUNT(I20:I200)&lt;&gt;0, MIN(I20:I200), "")</f>
        <v>2600</v>
      </c>
      <c r="J10" s="20">
        <f>IF(COUNT(J20:J200)&lt;&gt;0, MIN(J20:J200), "")</f>
        <v>2400</v>
      </c>
      <c r="K10" s="20">
        <f>IF(COUNT(K20:K200)&lt;&gt;0, MIN(K20:K200), "")</f>
        <v>2250</v>
      </c>
      <c r="L10" s="20">
        <f>L7-L8</f>
        <v>3822.4293342880137</v>
      </c>
      <c r="M10" s="20">
        <f>M7-M8</f>
        <v>3366.3858498120021</v>
      </c>
      <c r="N10" s="20"/>
      <c r="O10" s="20">
        <f>IF(COUNT(O20:O200)&lt;&gt;0, MIN(O20:O200), "")</f>
        <v>2057.5</v>
      </c>
      <c r="P10" s="20">
        <f>IF(COUNT(P20:P200)&lt;&gt;0, MIN(P20:P200), "")</f>
        <v>1975</v>
      </c>
      <c r="Q10" s="20">
        <f>IF(COUNT(Q20:Q200)&lt;&gt;0, MIN(Q20:Q200), "")</f>
        <v>1926.615</v>
      </c>
      <c r="R10" s="20">
        <f>IF(COUNT(R20:R200)&lt;&gt;0, MIN(R20:R200), "")</f>
        <v>1912.26</v>
      </c>
      <c r="S10" s="20">
        <f>IF(COUNT(S20:S200)&lt;&gt;0, MIN(S20:S200), "")</f>
        <v>1740</v>
      </c>
      <c r="T10" s="24">
        <f>T7-T8</f>
        <v>2980.4495088002727</v>
      </c>
      <c r="U10" s="24">
        <f t="shared" ref="U10:W10" si="3">U7-U8</f>
        <v>2792.209370412053</v>
      </c>
      <c r="V10" s="24">
        <f t="shared" si="3"/>
        <v>2600.7290207072438</v>
      </c>
      <c r="W10" s="24">
        <f t="shared" si="3"/>
        <v>2135.425106203948</v>
      </c>
    </row>
    <row r="11" spans="1:23" s="5" customFormat="1" ht="12.75" x14ac:dyDescent="0.2">
      <c r="A11" s="6" t="s">
        <v>13</v>
      </c>
      <c r="B11" s="3"/>
      <c r="C11" s="20">
        <f>IF(COUNT(C20:C200)&gt;1, STDEV(C20:C200), "")</f>
        <v>288.84183989211903</v>
      </c>
      <c r="D11" s="20">
        <f>IF(COUNT(D20:D200)&gt;1, STDEV(D20:D200), "")</f>
        <v>378.91808979823276</v>
      </c>
      <c r="E11" s="20">
        <f>IF(COUNT(E20:E200)&gt;1, STDEV(E20:E200), "")</f>
        <v>419.65020095854953</v>
      </c>
      <c r="F11" s="20">
        <f>IF(COUNT(F20:F200)&gt;1, STDEV(F20:F200), "")</f>
        <v>483.96431138896679</v>
      </c>
      <c r="G11" s="21"/>
      <c r="H11" s="20">
        <f>IF(COUNT(H20:H200)&gt;1, STDEV(H20:H200), "")</f>
        <v>532.15148441031408</v>
      </c>
      <c r="I11" s="20">
        <f>IF(COUNT(I20:I200)&gt;1, STDEV(I20:I200), "")</f>
        <v>577.41651071484387</v>
      </c>
      <c r="J11" s="20">
        <f>IF(COUNT(J20:J200)&gt;1, STDEV(J20:J200), "")</f>
        <v>656.6541897936761</v>
      </c>
      <c r="K11" s="20">
        <f>IF(COUNT(K20:K200)&gt;1, STDEV(K20:K200), "")</f>
        <v>756.95135637530245</v>
      </c>
      <c r="L11" s="20"/>
      <c r="M11" s="20"/>
      <c r="N11" s="20"/>
      <c r="O11" s="20">
        <f>IF(COUNT(O20:O200)&gt;1, STDEV(O20:O200), "")</f>
        <v>730.45398217416096</v>
      </c>
      <c r="P11" s="20">
        <f>IF(COUNT(P20:P200)&gt;1, STDEV(P20:P200), "")</f>
        <v>788.64904050112784</v>
      </c>
      <c r="Q11" s="20">
        <f>IF(COUNT(Q20:Q200)&gt;1, STDEV(Q20:Q200), "")</f>
        <v>930.75353163691545</v>
      </c>
      <c r="R11" s="20">
        <f>IF(COUNT(R20:R200)&gt;1, STDEV(R20:R200), "")</f>
        <v>1229.9656336826424</v>
      </c>
      <c r="S11" s="20">
        <f>IF(COUNT(S20:S200)&gt;1, STDEV(S20:S200), "")</f>
        <v>859.69052432815954</v>
      </c>
    </row>
    <row r="12" spans="1:23" s="5" customFormat="1" ht="12.75" x14ac:dyDescent="0.2">
      <c r="A12" s="6" t="s">
        <v>14</v>
      </c>
      <c r="B12" s="3"/>
      <c r="C12" s="20">
        <f>IF(COUNT(C20:C200)&lt;&gt;0, COUNT(C20:C200), "")</f>
        <v>30</v>
      </c>
      <c r="D12" s="20">
        <f>IF(COUNT(D20:D200)&lt;&gt;0, COUNT(D20:D200), "")</f>
        <v>30</v>
      </c>
      <c r="E12" s="20">
        <f>IF(COUNT(E20:E200)&lt;&gt;0, COUNT(E20:E200), "")</f>
        <v>30</v>
      </c>
      <c r="F12" s="20">
        <f>IF(COUNT(F20:F200)&lt;&gt;0, COUNT(F20:F200), "")</f>
        <v>30</v>
      </c>
      <c r="G12" s="22"/>
      <c r="H12" s="20">
        <f>IF(COUNT(H20:H200)&lt;&gt;0, COUNT(H20:H200), "")</f>
        <v>26</v>
      </c>
      <c r="I12" s="20">
        <f>IF(COUNT(I20:I200)&lt;&gt;0, COUNT(I20:I200), "")</f>
        <v>25</v>
      </c>
      <c r="J12" s="20">
        <f>IF(COUNT(J20:J200)&lt;&gt;0, COUNT(J20:J200), "")</f>
        <v>25</v>
      </c>
      <c r="K12" s="20">
        <f>IF(COUNT(K20:K200)&lt;&gt;0, COUNT(K20:K200), "")</f>
        <v>23</v>
      </c>
      <c r="L12" s="23"/>
      <c r="M12" s="23"/>
      <c r="N12" s="23"/>
      <c r="O12" s="20">
        <f>IF(COUNT(O20:O200)&lt;&gt;0, COUNT(O20:O200), "")</f>
        <v>19</v>
      </c>
      <c r="P12" s="20">
        <f>IF(COUNT(P20:P200)&lt;&gt;0, COUNT(P20:P200), "")</f>
        <v>18</v>
      </c>
      <c r="Q12" s="20">
        <f>IF(COUNT(Q20:Q200)&lt;&gt;0, COUNT(Q20:Q200), "")</f>
        <v>13</v>
      </c>
      <c r="R12" s="20">
        <f>IF(COUNT(R20:R200)&lt;&gt;0, COUNT(R20:R200), "")</f>
        <v>10</v>
      </c>
      <c r="S12" s="20">
        <f>IF(COUNT(S20:S200)&lt;&gt;0, COUNT(S20:S200), "")</f>
        <v>12</v>
      </c>
    </row>
    <row r="13" spans="1:23" s="5" customFormat="1" ht="12.75" x14ac:dyDescent="0.2">
      <c r="A13" s="6"/>
      <c r="B13" s="3"/>
      <c r="C13" s="12"/>
      <c r="D13" s="12"/>
      <c r="E13" s="12"/>
      <c r="F13" s="12"/>
      <c r="G13" s="1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23" s="5" customFormat="1" ht="12.75" x14ac:dyDescent="0.2">
      <c r="A14" s="6"/>
      <c r="B14" s="3"/>
      <c r="C14" s="20"/>
      <c r="D14" s="20"/>
      <c r="E14" s="20"/>
      <c r="F14" s="20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23" s="5" customFormat="1" ht="12.75" x14ac:dyDescent="0.2">
      <c r="A15" s="6"/>
      <c r="B15" s="3"/>
      <c r="C15" s="20"/>
      <c r="D15" s="20"/>
      <c r="E15" s="20"/>
      <c r="F15" s="20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23" s="5" customFormat="1" ht="12.75" x14ac:dyDescent="0.2">
      <c r="A16" s="6"/>
      <c r="B16" s="3"/>
      <c r="C16" s="20"/>
      <c r="D16" s="20"/>
      <c r="E16" s="20"/>
      <c r="F16" s="20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9" s="5" customFormat="1" ht="12.75" x14ac:dyDescent="0.2">
      <c r="A17" s="6"/>
      <c r="B17" s="3"/>
      <c r="C17" s="20"/>
      <c r="D17" s="20"/>
      <c r="E17" s="20"/>
      <c r="F17" s="20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9" s="5" customFormat="1" ht="12.75" x14ac:dyDescent="0.2">
      <c r="A18" s="6"/>
      <c r="B18" s="3"/>
      <c r="C18" s="20"/>
      <c r="D18" s="20"/>
      <c r="E18" s="20"/>
      <c r="F18" s="20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9" s="5" customFormat="1" ht="12.75" x14ac:dyDescent="0.2">
      <c r="A19" s="6"/>
      <c r="B19" s="3"/>
      <c r="C19" s="20"/>
      <c r="D19" s="20"/>
      <c r="E19" s="20"/>
      <c r="F19" s="20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9" s="5" customFormat="1" ht="12.75" x14ac:dyDescent="0.2">
      <c r="A20" s="8" t="s">
        <v>20</v>
      </c>
      <c r="B20" s="3"/>
      <c r="C20" s="20">
        <v>4440</v>
      </c>
      <c r="D20" s="20">
        <v>4655</v>
      </c>
      <c r="E20" s="20">
        <v>4860</v>
      </c>
      <c r="F20" s="20">
        <v>5055</v>
      </c>
      <c r="G20" s="19">
        <v>0.17039084802978427</v>
      </c>
      <c r="H20" s="20">
        <v>5140</v>
      </c>
      <c r="I20" s="20">
        <v>5170</v>
      </c>
      <c r="J20" s="20">
        <v>5270</v>
      </c>
      <c r="K20" s="20">
        <v>5400</v>
      </c>
      <c r="L20" s="20"/>
      <c r="M20" s="20"/>
      <c r="N20" s="20"/>
      <c r="O20" s="20" t="s">
        <v>16</v>
      </c>
      <c r="P20" s="20"/>
      <c r="Q20" s="20"/>
      <c r="R20" s="20"/>
      <c r="S20" s="24"/>
    </row>
    <row r="21" spans="1:19" s="5" customFormat="1" ht="12.75" x14ac:dyDescent="0.2">
      <c r="A21" s="8" t="s">
        <v>27</v>
      </c>
      <c r="B21" s="3"/>
      <c r="C21" s="20">
        <v>4230</v>
      </c>
      <c r="D21" s="20">
        <v>4435</v>
      </c>
      <c r="E21" s="20">
        <v>4630</v>
      </c>
      <c r="F21" s="20">
        <v>4815</v>
      </c>
      <c r="G21" s="19">
        <v>0.11482333002243546</v>
      </c>
      <c r="H21" s="20" t="s">
        <v>16</v>
      </c>
      <c r="I21" s="20" t="s">
        <v>16</v>
      </c>
      <c r="J21" s="20" t="s">
        <v>16</v>
      </c>
      <c r="K21" s="20" t="s">
        <v>16</v>
      </c>
      <c r="L21" s="20"/>
      <c r="M21" s="20"/>
      <c r="N21" s="20"/>
      <c r="O21" s="20" t="s">
        <v>16</v>
      </c>
      <c r="P21" s="20"/>
      <c r="Q21" s="20"/>
      <c r="R21" s="20"/>
      <c r="S21" s="24"/>
    </row>
    <row r="22" spans="1:19" s="5" customFormat="1" ht="12.75" x14ac:dyDescent="0.2">
      <c r="A22" s="8" t="s">
        <v>24</v>
      </c>
      <c r="B22" s="3"/>
      <c r="C22" s="20">
        <v>4400</v>
      </c>
      <c r="D22" s="20">
        <v>4500</v>
      </c>
      <c r="E22" s="20">
        <v>4700</v>
      </c>
      <c r="F22" s="20">
        <v>4800</v>
      </c>
      <c r="G22" s="19">
        <v>0.11135036014697616</v>
      </c>
      <c r="H22" s="20">
        <v>4700</v>
      </c>
      <c r="I22" s="20">
        <v>4000</v>
      </c>
      <c r="J22" s="20">
        <v>3800</v>
      </c>
      <c r="K22" s="20">
        <v>3800</v>
      </c>
      <c r="L22" s="20"/>
      <c r="M22" s="20"/>
      <c r="N22" s="20"/>
      <c r="O22" s="20">
        <v>3650</v>
      </c>
      <c r="P22" s="20">
        <v>3500</v>
      </c>
      <c r="Q22" s="20">
        <v>3000</v>
      </c>
      <c r="R22" s="20">
        <v>2871.3246791663901</v>
      </c>
      <c r="S22" s="24">
        <v>2500</v>
      </c>
    </row>
    <row r="23" spans="1:19" s="5" customFormat="1" ht="12.75" x14ac:dyDescent="0.2">
      <c r="A23" s="8" t="s">
        <v>50</v>
      </c>
      <c r="B23" s="3"/>
      <c r="C23" s="20">
        <v>4500</v>
      </c>
      <c r="D23" s="20">
        <v>4600</v>
      </c>
      <c r="E23" s="20">
        <v>4650</v>
      </c>
      <c r="F23" s="20">
        <v>4800</v>
      </c>
      <c r="G23" s="19">
        <v>0.11135036014697616</v>
      </c>
      <c r="H23" s="20">
        <v>4850</v>
      </c>
      <c r="I23" s="20">
        <v>4950</v>
      </c>
      <c r="J23" s="20">
        <v>5050</v>
      </c>
      <c r="K23" s="20">
        <v>5250</v>
      </c>
      <c r="L23" s="20"/>
      <c r="M23" s="20"/>
      <c r="N23" s="20"/>
      <c r="O23" s="20" t="s">
        <v>16</v>
      </c>
      <c r="P23" s="20"/>
      <c r="Q23" s="20"/>
      <c r="R23" s="20"/>
      <c r="S23" s="24"/>
    </row>
    <row r="24" spans="1:19" s="5" customFormat="1" ht="12.75" x14ac:dyDescent="0.2">
      <c r="A24" s="8" t="s">
        <v>41</v>
      </c>
      <c r="B24" s="3"/>
      <c r="C24" s="12">
        <v>4200</v>
      </c>
      <c r="D24" s="12">
        <v>4350</v>
      </c>
      <c r="E24" s="12">
        <v>4550</v>
      </c>
      <c r="F24" s="12">
        <v>4700</v>
      </c>
      <c r="G24" s="19">
        <v>8.8197227643914161E-2</v>
      </c>
      <c r="H24" s="12" t="s">
        <v>16</v>
      </c>
      <c r="I24" s="12" t="s">
        <v>16</v>
      </c>
      <c r="J24" s="12" t="s">
        <v>16</v>
      </c>
      <c r="K24" s="12" t="s">
        <v>16</v>
      </c>
      <c r="L24" s="12"/>
      <c r="M24" s="12"/>
      <c r="N24" s="12"/>
      <c r="O24" s="12">
        <v>4499.7282988999996</v>
      </c>
      <c r="P24" s="12"/>
      <c r="Q24" s="12"/>
      <c r="R24" s="12"/>
      <c r="S24" s="27"/>
    </row>
    <row r="25" spans="1:19" s="5" customFormat="1" ht="12.75" x14ac:dyDescent="0.2">
      <c r="A25" s="8" t="s">
        <v>21</v>
      </c>
      <c r="B25" s="3"/>
      <c r="C25" s="12">
        <v>4475.9889368690701</v>
      </c>
      <c r="D25" s="12">
        <v>4570.9488519709903</v>
      </c>
      <c r="E25" s="12">
        <v>4599.2310409981601</v>
      </c>
      <c r="F25" s="12">
        <v>4635.2587546433797</v>
      </c>
      <c r="G25" s="19">
        <v>7.3207601322363383E-2</v>
      </c>
      <c r="H25" s="12">
        <v>4768.8776987862702</v>
      </c>
      <c r="I25" s="12">
        <v>4769.3843456577297</v>
      </c>
      <c r="J25" s="12">
        <v>4779.2892614087305</v>
      </c>
      <c r="K25" s="12">
        <v>4833.1036043624599</v>
      </c>
      <c r="L25" s="12"/>
      <c r="M25" s="12"/>
      <c r="N25" s="12"/>
      <c r="O25" s="12">
        <v>5003.3889774243999</v>
      </c>
      <c r="P25" s="12">
        <v>5088.48888986368</v>
      </c>
      <c r="Q25" s="12">
        <v>5211.4663981069898</v>
      </c>
      <c r="R25" s="12">
        <v>5536.6725110123898</v>
      </c>
      <c r="S25" s="27">
        <v>4612.4098457586497</v>
      </c>
    </row>
    <row r="26" spans="1:19" s="5" customFormat="1" ht="12.75" x14ac:dyDescent="0.2">
      <c r="A26" s="6" t="s">
        <v>38</v>
      </c>
      <c r="B26" s="3"/>
      <c r="C26" s="12">
        <v>4228.0233864884203</v>
      </c>
      <c r="D26" s="12">
        <v>4382.6364011952801</v>
      </c>
      <c r="E26" s="12">
        <v>4464.3094524635799</v>
      </c>
      <c r="F26" s="12">
        <v>4506.0095755820603</v>
      </c>
      <c r="G26" s="19">
        <v>4.3282367635176226E-2</v>
      </c>
      <c r="H26" s="12">
        <v>4555.7560923245201</v>
      </c>
      <c r="I26" s="12">
        <v>4585.5810154573801</v>
      </c>
      <c r="J26" s="12">
        <v>4599.4927487611003</v>
      </c>
      <c r="K26" s="12">
        <v>4612.0211723869697</v>
      </c>
      <c r="L26" s="12"/>
      <c r="M26" s="12"/>
      <c r="N26" s="12"/>
      <c r="O26" s="12">
        <v>4624.2067700520502</v>
      </c>
      <c r="P26" s="12">
        <v>4684.0571552882202</v>
      </c>
      <c r="Q26" s="12"/>
      <c r="R26" s="12">
        <v>4971.5120483315104</v>
      </c>
      <c r="S26" s="27"/>
    </row>
    <row r="27" spans="1:19" s="5" customFormat="1" ht="12.75" x14ac:dyDescent="0.2">
      <c r="A27" s="6" t="s">
        <v>25</v>
      </c>
      <c r="B27" s="3"/>
      <c r="C27" s="12">
        <v>4600</v>
      </c>
      <c r="D27" s="12">
        <v>4800</v>
      </c>
      <c r="E27" s="12">
        <v>4600</v>
      </c>
      <c r="F27" s="12">
        <v>4500</v>
      </c>
      <c r="G27" s="19">
        <v>4.1890962637790151E-2</v>
      </c>
      <c r="H27" s="12">
        <v>4200</v>
      </c>
      <c r="I27" s="12">
        <v>4100</v>
      </c>
      <c r="J27" s="12">
        <v>4000</v>
      </c>
      <c r="K27" s="12">
        <v>3800</v>
      </c>
      <c r="L27" s="12"/>
      <c r="M27" s="12"/>
      <c r="N27" s="12"/>
      <c r="O27" s="12" t="s">
        <v>16</v>
      </c>
      <c r="P27" s="12"/>
      <c r="Q27" s="12"/>
      <c r="R27" s="12"/>
      <c r="S27" s="27"/>
    </row>
    <row r="28" spans="1:19" s="5" customFormat="1" ht="12.75" x14ac:dyDescent="0.2">
      <c r="A28" s="6" t="s">
        <v>26</v>
      </c>
      <c r="B28" s="3"/>
      <c r="C28" s="12">
        <v>4600</v>
      </c>
      <c r="D28" s="12">
        <v>4600</v>
      </c>
      <c r="E28" s="12">
        <v>4500</v>
      </c>
      <c r="F28" s="12">
        <v>4500</v>
      </c>
      <c r="G28" s="19">
        <v>4.1890962637790151E-2</v>
      </c>
      <c r="H28" s="12">
        <v>4300</v>
      </c>
      <c r="I28" s="12">
        <v>4100</v>
      </c>
      <c r="J28" s="12">
        <v>4000</v>
      </c>
      <c r="K28" s="12">
        <v>3900</v>
      </c>
      <c r="L28" s="12"/>
      <c r="M28" s="12"/>
      <c r="N28" s="12"/>
      <c r="O28" s="12">
        <v>3675</v>
      </c>
      <c r="P28" s="12">
        <v>3425</v>
      </c>
      <c r="Q28" s="12"/>
      <c r="R28" s="12"/>
      <c r="S28" s="27">
        <v>3000</v>
      </c>
    </row>
    <row r="29" spans="1:19" s="5" customFormat="1" ht="12.75" x14ac:dyDescent="0.2">
      <c r="A29" s="6" t="s">
        <v>17</v>
      </c>
      <c r="B29" s="3"/>
      <c r="C29" s="12">
        <v>4400</v>
      </c>
      <c r="D29" s="12">
        <v>4500</v>
      </c>
      <c r="E29" s="12">
        <v>4750</v>
      </c>
      <c r="F29" s="12">
        <v>4500</v>
      </c>
      <c r="G29" s="19">
        <v>4.1890962637790151E-2</v>
      </c>
      <c r="H29" s="12">
        <v>4000</v>
      </c>
      <c r="I29" s="12" t="s">
        <v>16</v>
      </c>
      <c r="J29" s="12" t="s">
        <v>16</v>
      </c>
      <c r="K29" s="12" t="s">
        <v>16</v>
      </c>
      <c r="L29" s="12"/>
      <c r="M29" s="12"/>
      <c r="N29" s="12"/>
      <c r="O29" s="12">
        <v>3500</v>
      </c>
      <c r="P29" s="12">
        <v>3465</v>
      </c>
      <c r="Q29" s="12">
        <v>3429</v>
      </c>
      <c r="R29" s="12"/>
      <c r="S29" s="27"/>
    </row>
    <row r="30" spans="1:19" s="5" customFormat="1" ht="12.75" x14ac:dyDescent="0.2">
      <c r="A30" s="6" t="s">
        <v>18</v>
      </c>
      <c r="B30" s="3"/>
      <c r="C30" s="12">
        <v>4750</v>
      </c>
      <c r="D30" s="12">
        <v>4750</v>
      </c>
      <c r="E30" s="12">
        <v>4700</v>
      </c>
      <c r="F30" s="12">
        <v>4500</v>
      </c>
      <c r="G30" s="19">
        <v>4.1890962637790151E-2</v>
      </c>
      <c r="H30" s="12">
        <v>4500</v>
      </c>
      <c r="I30" s="12">
        <v>4300</v>
      </c>
      <c r="J30" s="12">
        <v>4300</v>
      </c>
      <c r="K30" s="12">
        <v>4000</v>
      </c>
      <c r="L30" s="12"/>
      <c r="M30" s="12"/>
      <c r="N30" s="12"/>
      <c r="O30" s="12">
        <v>4000</v>
      </c>
      <c r="P30" s="12">
        <v>3600</v>
      </c>
      <c r="Q30" s="12">
        <v>3639.2227591737301</v>
      </c>
      <c r="R30" s="12">
        <v>3848.44153858969</v>
      </c>
      <c r="S30" s="27">
        <v>3250</v>
      </c>
    </row>
    <row r="31" spans="1:19" s="5" customFormat="1" ht="12.75" x14ac:dyDescent="0.2">
      <c r="A31" s="6" t="s">
        <v>22</v>
      </c>
      <c r="B31" s="3"/>
      <c r="C31" s="12">
        <v>4280</v>
      </c>
      <c r="D31" s="12">
        <v>4370</v>
      </c>
      <c r="E31" s="12">
        <v>4470</v>
      </c>
      <c r="F31" s="12">
        <v>4430</v>
      </c>
      <c r="G31" s="19">
        <v>2.5683769885646749E-2</v>
      </c>
      <c r="H31" s="12">
        <v>4330</v>
      </c>
      <c r="I31" s="12">
        <v>4280</v>
      </c>
      <c r="J31" s="12">
        <v>4260</v>
      </c>
      <c r="K31" s="12">
        <v>4200</v>
      </c>
      <c r="L31" s="12"/>
      <c r="M31" s="12"/>
      <c r="N31" s="12"/>
      <c r="O31" s="12" t="s">
        <v>16</v>
      </c>
      <c r="P31" s="12"/>
      <c r="Q31" s="12"/>
      <c r="R31" s="12"/>
      <c r="S31" s="27"/>
    </row>
    <row r="32" spans="1:19" s="5" customFormat="1" ht="12.75" x14ac:dyDescent="0.2">
      <c r="A32" s="6" t="s">
        <v>19</v>
      </c>
      <c r="B32" s="3"/>
      <c r="C32" s="12">
        <v>4300</v>
      </c>
      <c r="D32" s="12">
        <v>4300</v>
      </c>
      <c r="E32" s="12">
        <v>4400</v>
      </c>
      <c r="F32" s="12">
        <v>4400</v>
      </c>
      <c r="G32" s="19">
        <v>1.8737830134728146E-2</v>
      </c>
      <c r="H32" s="12">
        <v>4400</v>
      </c>
      <c r="I32" s="12">
        <v>4400</v>
      </c>
      <c r="J32" s="12">
        <v>4400</v>
      </c>
      <c r="K32" s="12">
        <v>4400</v>
      </c>
      <c r="L32" s="12"/>
      <c r="M32" s="12"/>
      <c r="N32" s="12"/>
      <c r="O32" s="12" t="s">
        <v>16</v>
      </c>
      <c r="P32" s="12"/>
      <c r="Q32" s="12"/>
      <c r="R32" s="12"/>
      <c r="S32" s="27"/>
    </row>
    <row r="33" spans="1:19" s="5" customFormat="1" ht="12.75" x14ac:dyDescent="0.2">
      <c r="A33" s="6" t="s">
        <v>30</v>
      </c>
      <c r="B33" s="3"/>
      <c r="C33" s="12">
        <v>4250</v>
      </c>
      <c r="D33" s="12">
        <v>4300</v>
      </c>
      <c r="E33" s="12">
        <v>4350</v>
      </c>
      <c r="F33" s="12">
        <v>4400</v>
      </c>
      <c r="G33" s="19">
        <v>1.8737830134728146E-2</v>
      </c>
      <c r="H33" s="12" t="s">
        <v>16</v>
      </c>
      <c r="I33" s="12" t="s">
        <v>16</v>
      </c>
      <c r="J33" s="12" t="s">
        <v>16</v>
      </c>
      <c r="K33" s="12" t="s">
        <v>16</v>
      </c>
      <c r="L33" s="12"/>
      <c r="M33" s="12"/>
      <c r="N33" s="12"/>
      <c r="O33" s="12" t="s">
        <v>16</v>
      </c>
      <c r="P33" s="12"/>
      <c r="Q33" s="12"/>
      <c r="R33" s="12"/>
      <c r="S33" s="27"/>
    </row>
    <row r="34" spans="1:19" s="5" customFormat="1" ht="12.75" x14ac:dyDescent="0.2">
      <c r="A34" s="6" t="s">
        <v>28</v>
      </c>
      <c r="B34" s="3"/>
      <c r="C34" s="12">
        <v>4263</v>
      </c>
      <c r="D34" s="12">
        <v>4332</v>
      </c>
      <c r="E34" s="12">
        <v>4328</v>
      </c>
      <c r="F34" s="12">
        <v>4332</v>
      </c>
      <c r="G34" s="19">
        <v>2.9937000326459846E-3</v>
      </c>
      <c r="H34" s="12">
        <v>4290</v>
      </c>
      <c r="I34" s="12">
        <v>4304</v>
      </c>
      <c r="J34" s="12">
        <v>4289</v>
      </c>
      <c r="K34" s="12">
        <v>4408</v>
      </c>
      <c r="L34" s="12"/>
      <c r="M34" s="12"/>
      <c r="N34" s="12"/>
      <c r="O34" s="12">
        <v>4357</v>
      </c>
      <c r="P34" s="12">
        <v>4370</v>
      </c>
      <c r="Q34" s="12">
        <v>4571</v>
      </c>
      <c r="R34" s="12">
        <v>4624</v>
      </c>
      <c r="S34" s="27">
        <v>3690</v>
      </c>
    </row>
    <row r="35" spans="1:19" s="5" customFormat="1" ht="12.75" x14ac:dyDescent="0.2">
      <c r="A35" s="6" t="s">
        <v>23</v>
      </c>
      <c r="B35" s="3"/>
      <c r="C35" s="12">
        <v>4252.8996961954499</v>
      </c>
      <c r="D35" s="12">
        <v>4253.9840640262601</v>
      </c>
      <c r="E35" s="12">
        <v>4255.0684318570802</v>
      </c>
      <c r="F35" s="12">
        <v>4256.1527996878904</v>
      </c>
      <c r="G35" s="19">
        <v>-1.4567302755479617E-2</v>
      </c>
      <c r="H35" s="12">
        <v>4259.7450365815503</v>
      </c>
      <c r="I35" s="12">
        <v>4264.59120800663</v>
      </c>
      <c r="J35" s="12">
        <v>4269.4373794317098</v>
      </c>
      <c r="K35" s="12">
        <v>4274.2835508567896</v>
      </c>
      <c r="L35" s="12"/>
      <c r="M35" s="12"/>
      <c r="N35" s="12"/>
      <c r="O35" s="12">
        <v>4279.2179810095004</v>
      </c>
      <c r="P35" s="12">
        <v>4291.2661562680396</v>
      </c>
      <c r="Q35" s="12">
        <v>4308.1041476402697</v>
      </c>
      <c r="R35" s="12">
        <v>4649.7747207880202</v>
      </c>
      <c r="S35" s="27">
        <v>4211.444223386</v>
      </c>
    </row>
    <row r="36" spans="1:19" s="5" customFormat="1" ht="12.75" x14ac:dyDescent="0.2">
      <c r="A36" s="6" t="s">
        <v>32</v>
      </c>
      <c r="B36" s="3"/>
      <c r="C36" s="12">
        <v>4061.1579999999999</v>
      </c>
      <c r="D36" s="12">
        <v>4162.6869999999999</v>
      </c>
      <c r="E36" s="12">
        <v>4194.0950000000003</v>
      </c>
      <c r="F36" s="12">
        <v>4210.2860000000001</v>
      </c>
      <c r="G36" s="19">
        <v>-2.5186903662130888E-2</v>
      </c>
      <c r="H36" s="12">
        <v>4225.799</v>
      </c>
      <c r="I36" s="12">
        <v>4240.6260000000002</v>
      </c>
      <c r="J36" s="12">
        <v>4249.9470000000001</v>
      </c>
      <c r="K36" s="12">
        <v>4255.6620000000003</v>
      </c>
      <c r="L36" s="12"/>
      <c r="M36" s="12"/>
      <c r="N36" s="12"/>
      <c r="O36" s="12">
        <v>4278.3067499999997</v>
      </c>
      <c r="P36" s="12">
        <v>4348.0015000000003</v>
      </c>
      <c r="Q36" s="12">
        <v>4435.4367499999998</v>
      </c>
      <c r="R36" s="12"/>
      <c r="S36" s="27"/>
    </row>
    <row r="37" spans="1:19" s="5" customFormat="1" ht="12.75" x14ac:dyDescent="0.2">
      <c r="A37" s="6" t="s">
        <v>29</v>
      </c>
      <c r="B37" s="3"/>
      <c r="C37" s="12">
        <v>3900</v>
      </c>
      <c r="D37" s="12">
        <v>3900</v>
      </c>
      <c r="E37" s="12">
        <v>4200</v>
      </c>
      <c r="F37" s="12">
        <v>4200</v>
      </c>
      <c r="G37" s="19">
        <v>-2.7568434871395861E-2</v>
      </c>
      <c r="H37" s="12">
        <v>4100</v>
      </c>
      <c r="I37" s="12">
        <v>4100</v>
      </c>
      <c r="J37" s="12">
        <v>4000</v>
      </c>
      <c r="K37" s="12" t="s">
        <v>16</v>
      </c>
      <c r="L37" s="12"/>
      <c r="M37" s="12"/>
      <c r="N37" s="12"/>
      <c r="O37" s="12">
        <v>3850</v>
      </c>
      <c r="P37" s="12">
        <v>3725</v>
      </c>
      <c r="Q37" s="12"/>
      <c r="R37" s="12">
        <v>2174.9161977171898</v>
      </c>
      <c r="S37" s="27">
        <v>1899.99918628825</v>
      </c>
    </row>
    <row r="38" spans="1:19" s="5" customFormat="1" ht="12.75" x14ac:dyDescent="0.2">
      <c r="A38" s="6" t="s">
        <v>36</v>
      </c>
      <c r="B38" s="3"/>
      <c r="C38" s="12">
        <v>4300</v>
      </c>
      <c r="D38" s="12">
        <v>4200</v>
      </c>
      <c r="E38" s="12">
        <v>4200</v>
      </c>
      <c r="F38" s="12">
        <v>4200</v>
      </c>
      <c r="G38" s="19">
        <v>-2.7568434871395861E-2</v>
      </c>
      <c r="H38" s="12">
        <v>3800</v>
      </c>
      <c r="I38" s="12">
        <v>3800</v>
      </c>
      <c r="J38" s="12">
        <v>3800</v>
      </c>
      <c r="K38" s="12">
        <v>3800</v>
      </c>
      <c r="L38" s="12"/>
      <c r="M38" s="12"/>
      <c r="N38" s="12"/>
      <c r="O38" s="12">
        <v>3700</v>
      </c>
      <c r="P38" s="12">
        <v>3500</v>
      </c>
      <c r="Q38" s="12">
        <v>3356.2670020608298</v>
      </c>
      <c r="R38" s="12"/>
      <c r="S38" s="27">
        <v>3000</v>
      </c>
    </row>
    <row r="39" spans="1:19" s="5" customFormat="1" ht="12.75" x14ac:dyDescent="0.2">
      <c r="A39" s="6" t="s">
        <v>43</v>
      </c>
      <c r="B39" s="3"/>
      <c r="C39" s="12">
        <v>3690</v>
      </c>
      <c r="D39" s="12">
        <v>3860</v>
      </c>
      <c r="E39" s="12">
        <v>4015</v>
      </c>
      <c r="F39" s="12">
        <v>4160</v>
      </c>
      <c r="G39" s="19">
        <v>-3.6829687872620663E-2</v>
      </c>
      <c r="H39" s="12">
        <v>4100</v>
      </c>
      <c r="I39" s="12">
        <v>4100</v>
      </c>
      <c r="J39" s="12">
        <v>4100</v>
      </c>
      <c r="K39" s="12" t="s">
        <v>16</v>
      </c>
      <c r="L39" s="12"/>
      <c r="M39" s="12"/>
      <c r="N39" s="12"/>
      <c r="O39" s="12">
        <v>3500</v>
      </c>
      <c r="P39" s="12">
        <v>3250</v>
      </c>
      <c r="Q39" s="12"/>
      <c r="R39" s="12"/>
      <c r="S39" s="27">
        <v>2600</v>
      </c>
    </row>
    <row r="40" spans="1:19" s="5" customFormat="1" ht="12.75" x14ac:dyDescent="0.2">
      <c r="A40" s="6" t="s">
        <v>31</v>
      </c>
      <c r="B40" s="3"/>
      <c r="C40" s="12">
        <v>4020</v>
      </c>
      <c r="D40" s="12">
        <v>4050</v>
      </c>
      <c r="E40" s="12">
        <v>4075</v>
      </c>
      <c r="F40" s="12">
        <v>4050</v>
      </c>
      <c r="G40" s="19">
        <v>-6.2298133625988864E-2</v>
      </c>
      <c r="H40" s="12">
        <v>3900</v>
      </c>
      <c r="I40" s="12">
        <v>3800</v>
      </c>
      <c r="J40" s="12">
        <v>3750</v>
      </c>
      <c r="K40" s="12">
        <v>3700</v>
      </c>
      <c r="L40" s="12"/>
      <c r="M40" s="12"/>
      <c r="N40" s="12"/>
      <c r="O40" s="12" t="s">
        <v>16</v>
      </c>
      <c r="P40" s="12"/>
      <c r="Q40" s="12"/>
      <c r="R40" s="12"/>
      <c r="S40" s="27"/>
    </row>
    <row r="41" spans="1:19" s="5" customFormat="1" ht="12.75" x14ac:dyDescent="0.2">
      <c r="A41" s="6" t="s">
        <v>39</v>
      </c>
      <c r="B41" s="3"/>
      <c r="C41" s="12">
        <v>4000</v>
      </c>
      <c r="D41" s="12">
        <v>4200</v>
      </c>
      <c r="E41" s="12">
        <v>4100</v>
      </c>
      <c r="F41" s="12">
        <v>4050</v>
      </c>
      <c r="G41" s="19">
        <v>-6.2298133625988864E-2</v>
      </c>
      <c r="H41" s="12">
        <v>4000</v>
      </c>
      <c r="I41" s="12">
        <v>4000</v>
      </c>
      <c r="J41" s="12">
        <v>3950</v>
      </c>
      <c r="K41" s="12">
        <v>3950</v>
      </c>
      <c r="L41" s="12"/>
      <c r="M41" s="12"/>
      <c r="N41" s="12"/>
      <c r="O41" s="12" t="s">
        <v>16</v>
      </c>
      <c r="P41" s="12"/>
      <c r="Q41" s="12"/>
      <c r="R41" s="12"/>
      <c r="S41" s="27"/>
    </row>
    <row r="42" spans="1:19" s="5" customFormat="1" ht="12.75" x14ac:dyDescent="0.2">
      <c r="A42" s="6" t="s">
        <v>48</v>
      </c>
      <c r="B42" s="3"/>
      <c r="C42" s="12">
        <v>4223.3244023442103</v>
      </c>
      <c r="D42" s="12">
        <v>4192.1915865025803</v>
      </c>
      <c r="E42" s="12">
        <v>4195.2381126391101</v>
      </c>
      <c r="F42" s="12">
        <v>4013.9117912596798</v>
      </c>
      <c r="G42" s="19">
        <v>-7.0653684413616802E-2</v>
      </c>
      <c r="H42" s="12">
        <v>3894.6362661112898</v>
      </c>
      <c r="I42" s="12">
        <v>3774.8791690125099</v>
      </c>
      <c r="J42" s="12">
        <v>3668.2864207689599</v>
      </c>
      <c r="K42" s="12">
        <v>3577.1131618018699</v>
      </c>
      <c r="L42" s="12"/>
      <c r="M42" s="12"/>
      <c r="N42" s="12"/>
      <c r="O42" s="12">
        <v>3351.5942701512899</v>
      </c>
      <c r="P42" s="12">
        <v>3103.3368230504698</v>
      </c>
      <c r="Q42" s="12">
        <v>2972.4065745503799</v>
      </c>
      <c r="R42" s="12">
        <v>2940.53933017603</v>
      </c>
      <c r="S42" s="27">
        <v>2437.5343109523901</v>
      </c>
    </row>
    <row r="43" spans="1:19" s="5" customFormat="1" ht="12.75" x14ac:dyDescent="0.2">
      <c r="A43" s="6" t="s">
        <v>42</v>
      </c>
      <c r="B43" s="3"/>
      <c r="C43" s="12">
        <v>3749.92550228442</v>
      </c>
      <c r="D43" s="12">
        <v>3777.7795861331902</v>
      </c>
      <c r="E43" s="12">
        <v>3797.8686715660901</v>
      </c>
      <c r="F43" s="12">
        <v>3750.4262400163002</v>
      </c>
      <c r="G43" s="19">
        <v>-0.13165884321941981</v>
      </c>
      <c r="H43" s="12">
        <v>3666.0427256023399</v>
      </c>
      <c r="I43" s="12">
        <v>3600.13329082772</v>
      </c>
      <c r="J43" s="12">
        <v>3556.0452826126898</v>
      </c>
      <c r="K43" s="12">
        <v>3533.7787009572498</v>
      </c>
      <c r="L43" s="12"/>
      <c r="M43" s="12"/>
      <c r="N43" s="12"/>
      <c r="O43" s="12">
        <v>3529.7132805430001</v>
      </c>
      <c r="P43" s="12">
        <v>3517.7935967838398</v>
      </c>
      <c r="Q43" s="12">
        <v>3480.71169232887</v>
      </c>
      <c r="R43" s="12"/>
      <c r="S43" s="27"/>
    </row>
    <row r="44" spans="1:19" s="5" customFormat="1" ht="12.75" x14ac:dyDescent="0.2">
      <c r="A44" s="6" t="s">
        <v>35</v>
      </c>
      <c r="B44" s="3"/>
      <c r="C44" s="12">
        <v>3900</v>
      </c>
      <c r="D44" s="12">
        <v>3950</v>
      </c>
      <c r="E44" s="12">
        <v>4000</v>
      </c>
      <c r="F44" s="12">
        <v>3750</v>
      </c>
      <c r="G44" s="19">
        <v>-0.13175753113517488</v>
      </c>
      <c r="H44" s="12">
        <v>3700</v>
      </c>
      <c r="I44" s="12">
        <v>3500</v>
      </c>
      <c r="J44" s="12">
        <v>3250</v>
      </c>
      <c r="K44" s="12">
        <v>3000</v>
      </c>
      <c r="L44" s="12"/>
      <c r="M44" s="12"/>
      <c r="N44" s="12"/>
      <c r="O44" s="12">
        <v>2747.5</v>
      </c>
      <c r="P44" s="12">
        <v>2687.1</v>
      </c>
      <c r="Q44" s="12"/>
      <c r="R44" s="12"/>
      <c r="S44" s="27"/>
    </row>
    <row r="45" spans="1:19" s="5" customFormat="1" ht="12.75" x14ac:dyDescent="0.2">
      <c r="A45" s="6" t="s">
        <v>15</v>
      </c>
      <c r="B45" s="3"/>
      <c r="C45" s="12">
        <v>4200</v>
      </c>
      <c r="D45" s="12">
        <v>4000</v>
      </c>
      <c r="E45" s="12">
        <v>3800</v>
      </c>
      <c r="F45" s="12">
        <v>3700</v>
      </c>
      <c r="G45" s="19">
        <v>-0.14333409738670588</v>
      </c>
      <c r="H45" s="12" t="s">
        <v>16</v>
      </c>
      <c r="I45" s="12" t="s">
        <v>16</v>
      </c>
      <c r="J45" s="12" t="s">
        <v>16</v>
      </c>
      <c r="K45" s="12" t="s">
        <v>16</v>
      </c>
      <c r="L45" s="12"/>
      <c r="M45" s="12"/>
      <c r="N45" s="12"/>
      <c r="O45" s="12" t="s">
        <v>16</v>
      </c>
      <c r="P45" s="12"/>
      <c r="Q45" s="12"/>
      <c r="R45" s="12"/>
      <c r="S45" s="27"/>
    </row>
    <row r="46" spans="1:19" s="5" customFormat="1" ht="12.75" x14ac:dyDescent="0.2">
      <c r="A46" s="6" t="s">
        <v>33</v>
      </c>
      <c r="B46" s="3"/>
      <c r="C46" s="12">
        <v>4115</v>
      </c>
      <c r="D46" s="12">
        <v>3940</v>
      </c>
      <c r="E46" s="12">
        <v>3765</v>
      </c>
      <c r="F46" s="12">
        <v>3590</v>
      </c>
      <c r="G46" s="19">
        <v>-0.16880254314007409</v>
      </c>
      <c r="H46" s="12">
        <v>3470</v>
      </c>
      <c r="I46" s="12">
        <v>3410</v>
      </c>
      <c r="J46" s="12">
        <v>3350</v>
      </c>
      <c r="K46" s="12">
        <v>3285</v>
      </c>
      <c r="L46" s="12"/>
      <c r="M46" s="12"/>
      <c r="N46" s="12"/>
      <c r="O46" s="12" t="s">
        <v>16</v>
      </c>
      <c r="P46" s="12"/>
      <c r="Q46" s="12"/>
      <c r="R46" s="12"/>
      <c r="S46" s="27"/>
    </row>
    <row r="47" spans="1:19" s="5" customFormat="1" ht="12.75" x14ac:dyDescent="0.2">
      <c r="A47" s="6" t="s">
        <v>37</v>
      </c>
      <c r="B47" s="3"/>
      <c r="C47" s="12">
        <v>4038.4685684344599</v>
      </c>
      <c r="D47" s="12">
        <v>3877.4887144848399</v>
      </c>
      <c r="E47" s="12">
        <v>3635.0881538108201</v>
      </c>
      <c r="F47" s="12">
        <v>3417.3046542443499</v>
      </c>
      <c r="G47" s="19">
        <v>-0.2087869253695008</v>
      </c>
      <c r="H47" s="12">
        <v>3274.9087042400301</v>
      </c>
      <c r="I47" s="12">
        <v>3102.3681602510201</v>
      </c>
      <c r="J47" s="12">
        <v>2960.4224726525799</v>
      </c>
      <c r="K47" s="12">
        <v>2869.0221167254599</v>
      </c>
      <c r="L47" s="12"/>
      <c r="M47" s="12"/>
      <c r="N47" s="12"/>
      <c r="O47" s="12">
        <v>2604.0100004340002</v>
      </c>
      <c r="P47" s="12">
        <v>2325.4072751829999</v>
      </c>
      <c r="Q47" s="12">
        <v>2179.0428566129999</v>
      </c>
      <c r="R47" s="12"/>
      <c r="S47" s="27"/>
    </row>
    <row r="48" spans="1:19" s="5" customFormat="1" ht="12.75" x14ac:dyDescent="0.2">
      <c r="A48" s="6" t="s">
        <v>40</v>
      </c>
      <c r="B48" s="3"/>
      <c r="C48" s="12">
        <v>3500</v>
      </c>
      <c r="D48" s="12">
        <v>3000</v>
      </c>
      <c r="E48" s="12">
        <v>3100</v>
      </c>
      <c r="F48" s="12">
        <v>3150</v>
      </c>
      <c r="G48" s="19">
        <v>-0.27067632615354692</v>
      </c>
      <c r="H48" s="12">
        <v>3200</v>
      </c>
      <c r="I48" s="12">
        <v>3250</v>
      </c>
      <c r="J48" s="12">
        <v>2960</v>
      </c>
      <c r="K48" s="12">
        <v>2900</v>
      </c>
      <c r="L48" s="12"/>
      <c r="M48" s="12"/>
      <c r="N48" s="12"/>
      <c r="O48" s="12">
        <v>3300</v>
      </c>
      <c r="P48" s="12">
        <v>3600</v>
      </c>
      <c r="Q48" s="12">
        <v>3400</v>
      </c>
      <c r="R48" s="12">
        <v>4000</v>
      </c>
      <c r="S48" s="5">
        <v>3000</v>
      </c>
    </row>
    <row r="49" spans="1:19" s="5" customFormat="1" ht="12.75" x14ac:dyDescent="0.2">
      <c r="A49" s="6" t="s">
        <v>44</v>
      </c>
      <c r="B49" s="3"/>
      <c r="C49" s="12">
        <v>3750</v>
      </c>
      <c r="D49" s="12">
        <v>3600</v>
      </c>
      <c r="E49" s="12">
        <v>3400</v>
      </c>
      <c r="F49" s="12">
        <v>3150</v>
      </c>
      <c r="G49" s="19">
        <v>-0.27067632615354692</v>
      </c>
      <c r="H49" s="12">
        <v>2850</v>
      </c>
      <c r="I49" s="12">
        <v>2600</v>
      </c>
      <c r="J49" s="12">
        <v>2400</v>
      </c>
      <c r="K49" s="12">
        <v>2250</v>
      </c>
      <c r="L49" s="12"/>
      <c r="M49" s="12"/>
      <c r="N49" s="12"/>
      <c r="O49" s="12">
        <v>2057.5</v>
      </c>
      <c r="P49" s="12">
        <v>1975</v>
      </c>
      <c r="Q49" s="12">
        <v>1926.615</v>
      </c>
      <c r="R49" s="12">
        <v>1912.26</v>
      </c>
      <c r="S49" s="5">
        <v>1740</v>
      </c>
    </row>
    <row r="50" spans="1:19" s="5" customFormat="1" ht="12.75" x14ac:dyDescent="0.2">
      <c r="A50" s="6"/>
      <c r="B50" s="3"/>
      <c r="C50" s="12"/>
      <c r="D50" s="12"/>
      <c r="E50" s="12"/>
      <c r="F50" s="12"/>
      <c r="G50" s="19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9" s="5" customFormat="1" ht="12.75" x14ac:dyDescent="0.2">
      <c r="A51" s="6"/>
      <c r="B51" s="3"/>
      <c r="C51" s="12"/>
      <c r="D51" s="12"/>
      <c r="E51" s="12"/>
      <c r="F51" s="12"/>
      <c r="G51" s="19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9" s="5" customFormat="1" ht="12.75" x14ac:dyDescent="0.2">
      <c r="A52" s="6"/>
      <c r="B52" s="3"/>
      <c r="C52" s="12"/>
      <c r="D52" s="12"/>
      <c r="E52" s="12"/>
      <c r="F52" s="12"/>
      <c r="G52" s="1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9" s="5" customFormat="1" ht="12.75" x14ac:dyDescent="0.2">
      <c r="A53" s="6"/>
      <c r="B53" s="3"/>
      <c r="C53" s="12"/>
      <c r="D53" s="12"/>
      <c r="E53" s="12"/>
      <c r="F53" s="12"/>
      <c r="G53" s="1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9" s="5" customFormat="1" ht="12.75" x14ac:dyDescent="0.2">
      <c r="A54" s="6"/>
      <c r="B54" s="3"/>
      <c r="C54" s="12"/>
      <c r="D54" s="12"/>
      <c r="E54" s="12"/>
      <c r="F54" s="12"/>
      <c r="G54" s="1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9" s="5" customFormat="1" ht="12.75" x14ac:dyDescent="0.2">
      <c r="A55" s="6"/>
      <c r="B55" s="3"/>
      <c r="C55" s="12"/>
      <c r="D55" s="12"/>
      <c r="E55" s="12"/>
      <c r="F55" s="12"/>
      <c r="G55" s="1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9" s="5" customFormat="1" ht="12.75" x14ac:dyDescent="0.2">
      <c r="A56" s="6"/>
      <c r="B56" s="3"/>
      <c r="C56" s="12"/>
      <c r="D56" s="12"/>
      <c r="E56" s="12"/>
      <c r="F56" s="12"/>
      <c r="G56" s="1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9" s="5" customFormat="1" ht="12.75" x14ac:dyDescent="0.2">
      <c r="A57" s="6"/>
      <c r="B57" s="3"/>
      <c r="C57" s="12"/>
      <c r="D57" s="12"/>
      <c r="E57" s="12"/>
      <c r="F57" s="12"/>
      <c r="G57" s="1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9" s="5" customFormat="1" ht="12.75" x14ac:dyDescent="0.2">
      <c r="A58" s="6"/>
      <c r="B58" s="3"/>
      <c r="C58" s="12"/>
      <c r="D58" s="12"/>
      <c r="E58" s="12"/>
      <c r="F58" s="12"/>
      <c r="G58" s="1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9" s="5" customFormat="1" ht="12.75" x14ac:dyDescent="0.2">
      <c r="A59" s="6"/>
      <c r="B59" s="3"/>
      <c r="C59" s="12"/>
      <c r="D59" s="12"/>
      <c r="E59" s="12"/>
      <c r="F59" s="12"/>
      <c r="G59" s="1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19" s="5" customFormat="1" ht="12.75" x14ac:dyDescent="0.2">
      <c r="A60" s="6"/>
      <c r="B60" s="3"/>
      <c r="C60" s="12"/>
      <c r="D60" s="12"/>
      <c r="E60" s="12"/>
      <c r="F60" s="12"/>
      <c r="G60" s="1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9" s="5" customFormat="1" ht="12.75" x14ac:dyDescent="0.2">
      <c r="A61" s="6"/>
      <c r="B61" s="3"/>
      <c r="C61" s="12"/>
      <c r="D61" s="12"/>
      <c r="E61" s="12"/>
      <c r="F61" s="12"/>
      <c r="G61" s="1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9" s="5" customFormat="1" ht="12.75" x14ac:dyDescent="0.2">
      <c r="A62" s="6"/>
      <c r="B62" s="3"/>
      <c r="C62" s="12"/>
      <c r="D62" s="12"/>
      <c r="E62" s="12"/>
      <c r="F62" s="12"/>
      <c r="G62" s="1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9" s="5" customFormat="1" ht="12.75" x14ac:dyDescent="0.2">
      <c r="A63" s="6"/>
      <c r="B63" s="3"/>
      <c r="C63" s="12"/>
      <c r="D63" s="12"/>
      <c r="E63" s="12"/>
      <c r="F63" s="12"/>
      <c r="G63" s="1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9" s="5" customFormat="1" ht="12.75" x14ac:dyDescent="0.2">
      <c r="A64" s="6"/>
      <c r="B64" s="3"/>
      <c r="C64" s="12"/>
      <c r="D64" s="12"/>
      <c r="E64" s="12"/>
      <c r="F64" s="12"/>
      <c r="G64" s="1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 s="5" customFormat="1" ht="12.75" x14ac:dyDescent="0.2">
      <c r="A65" s="6"/>
      <c r="B65" s="3"/>
      <c r="C65" s="12"/>
      <c r="D65" s="12"/>
      <c r="E65" s="12"/>
      <c r="F65" s="12"/>
      <c r="G65" s="1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 s="5" customFormat="1" ht="12.75" x14ac:dyDescent="0.2">
      <c r="A66" s="6"/>
      <c r="B66" s="3"/>
      <c r="C66" s="12"/>
      <c r="D66" s="12"/>
      <c r="E66" s="12"/>
      <c r="F66" s="12"/>
      <c r="G66" s="1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s="5" customFormat="1" ht="12.75" x14ac:dyDescent="0.2">
      <c r="A67" s="6"/>
      <c r="B67" s="3"/>
      <c r="C67" s="12"/>
      <c r="D67" s="12"/>
      <c r="E67" s="12"/>
      <c r="F67" s="12"/>
      <c r="G67" s="1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 s="5" customFormat="1" ht="12.75" x14ac:dyDescent="0.2">
      <c r="A68" s="6"/>
      <c r="B68" s="3"/>
      <c r="C68" s="12"/>
      <c r="D68" s="12"/>
      <c r="E68" s="12"/>
      <c r="F68" s="12"/>
      <c r="G68" s="1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18" s="5" customFormat="1" ht="12.75" x14ac:dyDescent="0.2">
      <c r="A69" s="6"/>
      <c r="B69" s="3"/>
      <c r="C69" s="12"/>
      <c r="D69" s="12"/>
      <c r="E69" s="12"/>
      <c r="F69" s="12"/>
      <c r="G69" s="1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18" s="5" customFormat="1" ht="12.75" x14ac:dyDescent="0.2">
      <c r="A70" s="6"/>
      <c r="B70" s="3"/>
      <c r="C70" s="12"/>
      <c r="D70" s="12"/>
      <c r="E70" s="12"/>
      <c r="F70" s="12"/>
      <c r="G70" s="1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18" s="5" customFormat="1" ht="12.75" x14ac:dyDescent="0.2">
      <c r="A71" s="6"/>
      <c r="B71" s="3"/>
      <c r="C71" s="12"/>
      <c r="D71" s="12"/>
      <c r="E71" s="12"/>
      <c r="F71" s="12"/>
      <c r="G71" s="1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18" s="5" customFormat="1" ht="12.75" x14ac:dyDescent="0.2">
      <c r="A72" s="6"/>
      <c r="B72" s="3"/>
      <c r="C72" s="12"/>
      <c r="D72" s="12"/>
      <c r="E72" s="12"/>
      <c r="F72" s="12"/>
      <c r="G72" s="1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 s="5" customFormat="1" ht="12.75" x14ac:dyDescent="0.2">
      <c r="A73" s="6"/>
      <c r="B73" s="3"/>
      <c r="C73" s="12"/>
      <c r="D73" s="12"/>
      <c r="E73" s="12"/>
      <c r="F73" s="12"/>
      <c r="G73" s="1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1:18" s="5" customFormat="1" ht="12.75" x14ac:dyDescent="0.2">
      <c r="A74" s="6"/>
      <c r="B74" s="3"/>
      <c r="C74" s="12"/>
      <c r="D74" s="12"/>
      <c r="E74" s="12"/>
      <c r="F74" s="12"/>
      <c r="G74" s="1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1:18" s="5" customFormat="1" ht="12.75" x14ac:dyDescent="0.2">
      <c r="A75" s="6"/>
      <c r="B75" s="3"/>
      <c r="C75" s="12"/>
      <c r="D75" s="12"/>
      <c r="E75" s="12"/>
      <c r="F75" s="12"/>
      <c r="G75" s="1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18" s="5" customFormat="1" ht="12.75" x14ac:dyDescent="0.2">
      <c r="A76" s="6"/>
      <c r="B76" s="3"/>
      <c r="C76" s="12"/>
      <c r="D76" s="12"/>
      <c r="E76" s="12"/>
      <c r="F76" s="12"/>
      <c r="G76" s="1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1:18" s="5" customFormat="1" ht="12.75" x14ac:dyDescent="0.2">
      <c r="A77" s="6"/>
      <c r="B77" s="3"/>
      <c r="C77" s="12"/>
      <c r="D77" s="12"/>
      <c r="E77" s="12"/>
      <c r="F77" s="12"/>
      <c r="G77" s="1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1:18" s="5" customFormat="1" ht="12.75" x14ac:dyDescent="0.2">
      <c r="A78" s="6"/>
      <c r="B78" s="3"/>
      <c r="C78" s="12"/>
      <c r="D78" s="12"/>
      <c r="E78" s="12"/>
      <c r="F78" s="12"/>
      <c r="G78" s="1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1:18" s="5" customFormat="1" ht="12.75" x14ac:dyDescent="0.2">
      <c r="A79" s="6"/>
      <c r="B79" s="3"/>
      <c r="C79" s="12"/>
      <c r="D79" s="12"/>
      <c r="E79" s="12"/>
      <c r="F79" s="12"/>
      <c r="G79" s="1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1:18" s="5" customFormat="1" ht="12.75" x14ac:dyDescent="0.2">
      <c r="A80" s="6"/>
      <c r="B80" s="3"/>
      <c r="C80" s="12"/>
      <c r="D80" s="12"/>
      <c r="E80" s="12"/>
      <c r="F80" s="12"/>
      <c r="G80" s="1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1:18" s="5" customFormat="1" ht="12.75" x14ac:dyDescent="0.2">
      <c r="A81" s="6"/>
      <c r="B81" s="3"/>
      <c r="C81" s="12"/>
      <c r="D81" s="12"/>
      <c r="E81" s="12"/>
      <c r="F81" s="12"/>
      <c r="G81" s="1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1:18" s="5" customFormat="1" ht="12.75" x14ac:dyDescent="0.2">
      <c r="A82" s="6"/>
      <c r="B82" s="3"/>
      <c r="C82" s="12"/>
      <c r="D82" s="12"/>
      <c r="E82" s="12"/>
      <c r="F82" s="12"/>
      <c r="G82" s="1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1:18" s="5" customFormat="1" ht="12.75" x14ac:dyDescent="0.2">
      <c r="A83" s="6"/>
      <c r="B83" s="3"/>
      <c r="C83" s="12"/>
      <c r="D83" s="12"/>
      <c r="E83" s="12"/>
      <c r="F83" s="12"/>
      <c r="G83" s="1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1:18" s="5" customFormat="1" ht="12.75" x14ac:dyDescent="0.2">
      <c r="A84" s="6"/>
      <c r="B84" s="3"/>
      <c r="C84" s="12"/>
      <c r="D84" s="12"/>
      <c r="E84" s="12"/>
      <c r="F84" s="12"/>
      <c r="G84" s="1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1:18" s="5" customFormat="1" ht="12.75" x14ac:dyDescent="0.2">
      <c r="A85" s="6"/>
      <c r="B85" s="3"/>
      <c r="C85" s="12"/>
      <c r="D85" s="12"/>
      <c r="E85" s="12"/>
      <c r="F85" s="12"/>
      <c r="G85" s="1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1:18" s="5" customFormat="1" ht="12.75" x14ac:dyDescent="0.2">
      <c r="A86" s="6"/>
      <c r="B86" s="3"/>
      <c r="C86" s="12"/>
      <c r="D86" s="12"/>
      <c r="E86" s="12"/>
      <c r="F86" s="12"/>
      <c r="G86" s="1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1:18" s="5" customFormat="1" ht="12.75" x14ac:dyDescent="0.2">
      <c r="A87" s="6"/>
      <c r="B87" s="3"/>
      <c r="C87" s="12"/>
      <c r="D87" s="12"/>
      <c r="E87" s="12"/>
      <c r="F87" s="12"/>
      <c r="G87" s="1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spans="1:18" s="5" customFormat="1" ht="12.75" x14ac:dyDescent="0.2">
      <c r="A88" s="6"/>
      <c r="B88" s="3"/>
      <c r="C88" s="12"/>
      <c r="D88" s="12"/>
      <c r="E88" s="12"/>
      <c r="F88" s="12"/>
      <c r="G88" s="1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1:18" s="5" customFormat="1" ht="12.75" x14ac:dyDescent="0.2">
      <c r="A89" s="6"/>
      <c r="B89" s="3"/>
      <c r="C89" s="12"/>
      <c r="D89" s="12"/>
      <c r="E89" s="12"/>
      <c r="F89" s="12"/>
      <c r="G89" s="1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1:18" s="5" customFormat="1" ht="12.75" x14ac:dyDescent="0.2">
      <c r="A90" s="6"/>
      <c r="B90" s="3"/>
      <c r="C90" s="12"/>
      <c r="D90" s="12"/>
      <c r="E90" s="12"/>
      <c r="F90" s="12"/>
      <c r="G90" s="1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1:18" s="5" customFormat="1" ht="12.75" x14ac:dyDescent="0.2">
      <c r="A91" s="6"/>
      <c r="B91" s="3"/>
      <c r="C91" s="12"/>
      <c r="D91" s="12"/>
      <c r="E91" s="12"/>
      <c r="F91" s="12"/>
      <c r="G91" s="1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1:18" s="5" customFormat="1" ht="12.75" x14ac:dyDescent="0.2">
      <c r="A92" s="6"/>
      <c r="B92" s="3"/>
      <c r="C92" s="12"/>
      <c r="D92" s="12"/>
      <c r="E92" s="12"/>
      <c r="F92" s="12"/>
      <c r="G92" s="1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1:18" s="5" customFormat="1" ht="12.75" x14ac:dyDescent="0.2">
      <c r="A93" s="6"/>
      <c r="B93" s="3"/>
      <c r="C93" s="12"/>
      <c r="D93" s="12"/>
      <c r="E93" s="12"/>
      <c r="F93" s="12"/>
      <c r="G93" s="1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spans="1:18" s="5" customFormat="1" ht="12.75" x14ac:dyDescent="0.2">
      <c r="A94" s="6"/>
      <c r="B94" s="3"/>
      <c r="C94" s="12"/>
      <c r="D94" s="12"/>
      <c r="E94" s="12"/>
      <c r="F94" s="12"/>
      <c r="G94" s="1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spans="1:18" s="5" customFormat="1" ht="12.75" x14ac:dyDescent="0.2">
      <c r="A95" s="6"/>
      <c r="B95" s="3"/>
      <c r="C95" s="12"/>
      <c r="D95" s="12"/>
      <c r="E95" s="12"/>
      <c r="F95" s="12"/>
      <c r="G95" s="1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spans="1:18" s="5" customFormat="1" ht="12.75" x14ac:dyDescent="0.2">
      <c r="A96" s="6"/>
      <c r="B96" s="3"/>
      <c r="C96" s="12"/>
      <c r="D96" s="12"/>
      <c r="E96" s="12"/>
      <c r="F96" s="12"/>
      <c r="G96" s="1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spans="1:18" s="5" customFormat="1" ht="12.75" x14ac:dyDescent="0.2">
      <c r="A97" s="6"/>
      <c r="B97" s="3"/>
      <c r="C97" s="12"/>
      <c r="D97" s="12"/>
      <c r="E97" s="12"/>
      <c r="F97" s="12"/>
      <c r="G97" s="1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spans="1:18" s="5" customFormat="1" ht="12.75" x14ac:dyDescent="0.2">
      <c r="A98" s="6"/>
      <c r="B98" s="3"/>
      <c r="C98" s="12"/>
      <c r="D98" s="12"/>
      <c r="E98" s="12"/>
      <c r="F98" s="12"/>
      <c r="G98" s="1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spans="1:18" s="5" customFormat="1" ht="12.75" x14ac:dyDescent="0.2">
      <c r="A99" s="6"/>
      <c r="B99" s="3"/>
      <c r="C99" s="12"/>
      <c r="D99" s="12"/>
      <c r="E99" s="12"/>
      <c r="F99" s="12"/>
      <c r="G99" s="1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spans="1:18" s="5" customFormat="1" ht="12.75" x14ac:dyDescent="0.2">
      <c r="A100" s="6"/>
      <c r="B100" s="3"/>
      <c r="C100" s="12"/>
      <c r="D100" s="12"/>
      <c r="E100" s="12"/>
      <c r="F100" s="12"/>
      <c r="G100" s="1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854B-233E-4CEC-A8ED-20933A214406}">
  <dimension ref="A1:W100"/>
  <sheetViews>
    <sheetView workbookViewId="0">
      <selection activeCell="T7" sqref="T7:W10"/>
    </sheetView>
  </sheetViews>
  <sheetFormatPr defaultRowHeight="15" x14ac:dyDescent="0.25"/>
  <cols>
    <col min="1" max="1" width="25.28515625" customWidth="1"/>
    <col min="2" max="2" width="15.85546875" customWidth="1"/>
    <col min="3" max="3" width="9.7109375" bestFit="1" customWidth="1"/>
    <col min="4" max="4" width="10.140625" bestFit="1" customWidth="1"/>
    <col min="5" max="5" width="9.42578125" bestFit="1" customWidth="1"/>
    <col min="6" max="6" width="9.85546875" bestFit="1" customWidth="1"/>
    <col min="7" max="7" width="10.85546875" bestFit="1" customWidth="1"/>
    <col min="8" max="8" width="9.85546875" bestFit="1" customWidth="1"/>
    <col min="9" max="9" width="10.140625" bestFit="1" customWidth="1"/>
    <col min="10" max="10" width="9.42578125" bestFit="1" customWidth="1"/>
    <col min="11" max="12" width="9.85546875" bestFit="1" customWidth="1"/>
    <col min="13" max="13" width="9.7109375" bestFit="1" customWidth="1"/>
    <col min="14" max="14" width="4.28515625" customWidth="1"/>
    <col min="15" max="17" width="10.7109375" customWidth="1"/>
    <col min="18" max="19" width="12.7109375" customWidth="1"/>
  </cols>
  <sheetData>
    <row r="1" spans="1:23" s="5" customFormat="1" ht="18" x14ac:dyDescent="0.25">
      <c r="A1" s="2" t="s">
        <v>51</v>
      </c>
      <c r="B1" s="3"/>
      <c r="C1"/>
      <c r="D1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3" s="5" customFormat="1" ht="12.75" x14ac:dyDescent="0.2">
      <c r="A2" s="6"/>
      <c r="B2" s="7" t="s">
        <v>1</v>
      </c>
      <c r="C2" s="3"/>
      <c r="D2" s="3"/>
      <c r="E2" s="3"/>
      <c r="F2" s="3"/>
      <c r="G2" s="4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3" s="5" customFormat="1" ht="12.75" x14ac:dyDescent="0.2">
      <c r="A3" s="8" t="s">
        <v>3</v>
      </c>
      <c r="B3" s="3"/>
      <c r="C3" s="3"/>
      <c r="D3" s="3"/>
      <c r="E3" s="3"/>
      <c r="F3" s="3"/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3" s="5" customFormat="1" ht="12.75" x14ac:dyDescent="0.2">
      <c r="A4" s="10">
        <f>'[1]Crude Oil'!A4</f>
        <v>46006</v>
      </c>
      <c r="B4" s="14" t="str">
        <f>'[1]Crude Oil'!B4</f>
        <v xml:space="preserve">Spot Price </v>
      </c>
      <c r="C4" s="12"/>
      <c r="D4" s="12"/>
      <c r="E4" s="12"/>
      <c r="F4" s="12"/>
      <c r="G4" s="9" t="str">
        <f>'[1]Crude Oil'!G4</f>
        <v>% change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1" t="s">
        <v>5</v>
      </c>
      <c r="S4" s="11" t="s">
        <v>5</v>
      </c>
    </row>
    <row r="5" spans="1:23" s="5" customFormat="1" ht="12.75" x14ac:dyDescent="0.2">
      <c r="A5" s="13" t="s">
        <v>6</v>
      </c>
      <c r="B5" s="14" t="str">
        <f>'[1]Crude Oil'!B5</f>
        <v>on Survey Date</v>
      </c>
      <c r="C5" s="14">
        <f>'[1]Crude Oil'!C5</f>
        <v>46082</v>
      </c>
      <c r="D5" s="14">
        <f>'[1]Crude Oil'!D5</f>
        <v>46177</v>
      </c>
      <c r="E5" s="14">
        <f>'[1]Crude Oil'!E5</f>
        <v>46272</v>
      </c>
      <c r="F5" s="14">
        <f>'[1]Crude Oil'!F5</f>
        <v>46367</v>
      </c>
      <c r="G5" s="9" t="str">
        <f>'[1]Crude Oil'!G5</f>
        <v>from spot</v>
      </c>
      <c r="H5" s="14">
        <f>'[1]Crude Oil'!H5</f>
        <v>46462</v>
      </c>
      <c r="I5" s="14">
        <f>'[1]Crude Oil'!I5</f>
        <v>46557</v>
      </c>
      <c r="J5" s="14">
        <f>'[1]Crude Oil'!J5</f>
        <v>46652</v>
      </c>
      <c r="K5" s="14">
        <f>'[1]Crude Oil'!K5</f>
        <v>46747</v>
      </c>
      <c r="L5" s="14"/>
      <c r="M5" s="14"/>
      <c r="N5" s="14"/>
      <c r="O5" s="15">
        <f>'[1]Crude Oil'!O5</f>
        <v>2028</v>
      </c>
      <c r="P5" s="15">
        <f>'[1]Crude Oil'!P5</f>
        <v>2029</v>
      </c>
      <c r="Q5" s="15">
        <f>'[1]Crude Oil'!Q5</f>
        <v>2030</v>
      </c>
      <c r="R5" s="14" t="str">
        <f>'[1]Crude Oil'!R5</f>
        <v>2031-2035</v>
      </c>
      <c r="S5" s="14" t="str">
        <f>'[1]Crude Oil'!S5</f>
        <v>2031-2035</v>
      </c>
    </row>
    <row r="6" spans="1:23" s="5" customFormat="1" ht="12.75" x14ac:dyDescent="0.2">
      <c r="A6" s="10">
        <f>'[1]Crude Oil'!$A$6</f>
        <v>46010</v>
      </c>
      <c r="B6" s="3"/>
      <c r="C6" s="3" t="s">
        <v>8</v>
      </c>
      <c r="D6" s="3"/>
      <c r="E6" s="3"/>
      <c r="F6" s="3"/>
      <c r="G6" s="4"/>
      <c r="H6" s="3" t="s">
        <v>8</v>
      </c>
      <c r="I6" s="3"/>
      <c r="J6" s="3"/>
      <c r="K6" s="3"/>
      <c r="L6" s="3">
        <v>2026</v>
      </c>
      <c r="M6" s="3">
        <v>2027</v>
      </c>
      <c r="N6" s="3"/>
      <c r="O6" s="3"/>
      <c r="P6" s="3"/>
      <c r="Q6" s="3"/>
      <c r="R6" s="3" t="s">
        <v>8</v>
      </c>
      <c r="S6" s="3" t="s">
        <v>9</v>
      </c>
    </row>
    <row r="7" spans="1:23" s="16" customFormat="1" ht="12.75" x14ac:dyDescent="0.2">
      <c r="A7" s="16" t="s">
        <v>10</v>
      </c>
      <c r="B7" s="1">
        <v>63.82</v>
      </c>
      <c r="C7" s="1">
        <f>IF(COUNT(C20:C200)&lt;&gt;0, AVERAGE(C20:C200), "")</f>
        <v>53.164591830468979</v>
      </c>
      <c r="D7" s="1">
        <f>IF(COUNT(D20:D200)&lt;&gt;0, AVERAGE(D20:D200), "")</f>
        <v>53.814107711790861</v>
      </c>
      <c r="E7" s="1">
        <f>IF(COUNT(E20:E200)&lt;&gt;0, AVERAGE(E20:E200), "")</f>
        <v>53.603790422177454</v>
      </c>
      <c r="F7" s="1">
        <f>IF(COUNT(F20:F200)&lt;&gt;0, AVERAGE(F20:F200), "")</f>
        <v>52.453548505819349</v>
      </c>
      <c r="G7" s="18">
        <f>AVERAGE(G20:G201)</f>
        <v>-0.17810171567189984</v>
      </c>
      <c r="H7" s="1">
        <f>IF(COUNT(H20:H200)&lt;&gt;0, AVERAGE(H20:H200), "")</f>
        <v>50.461015234806545</v>
      </c>
      <c r="I7" s="1">
        <f>IF(COUNT(I20:I200)&lt;&gt;0, AVERAGE(I20:I200), "")</f>
        <v>49.381415562897082</v>
      </c>
      <c r="J7" s="1">
        <f>IF(COUNT(J20:J200)&lt;&gt;0, AVERAGE(J20:J200), "")</f>
        <v>48.780017086544163</v>
      </c>
      <c r="K7" s="1">
        <f>IF(COUNT(K20:K200)&lt;&gt;0, AVERAGE(K20:K200), "")</f>
        <v>48.336649304757231</v>
      </c>
      <c r="L7" s="1">
        <f>AVERAGE(C7:F7)</f>
        <v>53.259009617564161</v>
      </c>
      <c r="M7" s="1">
        <f>AVERAGE(H7:K7)</f>
        <v>49.239774297251252</v>
      </c>
      <c r="N7" s="1"/>
      <c r="O7" s="1">
        <f>IF(COUNT(O20:O200)&lt;&gt;0, AVERAGE(O20:O200), "")</f>
        <v>45.832878041077116</v>
      </c>
      <c r="P7" s="1">
        <f>IF(COUNT(P20:P200)&lt;&gt;0, AVERAGE(P20:P200), "")</f>
        <v>43.403207436122727</v>
      </c>
      <c r="Q7" s="1">
        <f>IF(COUNT(Q20:Q200)&lt;&gt;0, AVERAGE(Q20:Q200), "")</f>
        <v>41.495246478187234</v>
      </c>
      <c r="R7" s="1">
        <f>IF(COUNT(R20:R200)&lt;&gt;0, AVERAGE(R20:R200), "")</f>
        <v>46.282352140556398</v>
      </c>
      <c r="S7" s="1">
        <f>IF(COUNT(S20:S200)&lt;&gt;0, AVERAGE(S20:S200), "")</f>
        <v>37.33868171100157</v>
      </c>
      <c r="T7" s="1">
        <f>O7</f>
        <v>45.832878041077116</v>
      </c>
      <c r="U7" s="1">
        <f t="shared" ref="U7:V7" si="0">P7</f>
        <v>43.403207436122727</v>
      </c>
      <c r="V7" s="1">
        <f t="shared" si="0"/>
        <v>41.495246478187234</v>
      </c>
      <c r="W7" s="1">
        <f>S7</f>
        <v>37.33868171100157</v>
      </c>
    </row>
    <row r="8" spans="1:23" s="5" customFormat="1" ht="12.75" x14ac:dyDescent="0.2">
      <c r="A8" s="6"/>
      <c r="B8" s="20"/>
      <c r="C8" s="1"/>
      <c r="D8" s="1"/>
      <c r="E8" s="1"/>
      <c r="F8" s="1"/>
      <c r="G8" s="19"/>
      <c r="H8" s="1"/>
      <c r="I8" s="1"/>
      <c r="J8" s="1"/>
      <c r="K8" s="1"/>
      <c r="L8" s="20">
        <f>AVERAGE(C11:F11)</f>
        <v>6.9352823084196338</v>
      </c>
      <c r="M8" s="20">
        <f>AVERAGE(H11:K11)</f>
        <v>9.0643277218066842</v>
      </c>
      <c r="N8" s="20"/>
      <c r="O8" s="1"/>
      <c r="P8" s="1"/>
      <c r="Q8" s="1"/>
      <c r="R8" s="1"/>
      <c r="S8" s="1"/>
      <c r="T8" s="20">
        <f>O11</f>
        <v>9.9050966509996119</v>
      </c>
      <c r="U8" s="20">
        <f t="shared" ref="U8:V8" si="1">P11</f>
        <v>10.205605033441225</v>
      </c>
      <c r="V8" s="20">
        <f t="shared" si="1"/>
        <v>10.339518151485191</v>
      </c>
      <c r="W8" s="20">
        <f>S11</f>
        <v>11.825533034580133</v>
      </c>
    </row>
    <row r="9" spans="1:23" s="5" customFormat="1" ht="12.75" x14ac:dyDescent="0.2">
      <c r="A9" s="6" t="s">
        <v>11</v>
      </c>
      <c r="B9" s="20"/>
      <c r="C9" s="20">
        <f>IF(COUNT(C20:C200)&lt;&gt;0, MAX(C20:C200), "")</f>
        <v>65.714285714285694</v>
      </c>
      <c r="D9" s="20">
        <f>IF(COUNT(D20:D200)&lt;&gt;0, MAX(D20:D200), "")</f>
        <v>68.571428571428598</v>
      </c>
      <c r="E9" s="20">
        <f>IF(COUNT(E20:E200)&lt;&gt;0, MAX(E20:E200), "")</f>
        <v>65.714285714285694</v>
      </c>
      <c r="F9" s="20">
        <f>IF(COUNT(F20:F200)&lt;&gt;0, MAX(F20:F200), "")</f>
        <v>64.864864864864899</v>
      </c>
      <c r="G9" s="21"/>
      <c r="H9" s="20">
        <f>IF(COUNT(H20:H200)&lt;&gt;0, MAX(H20:H200), "")</f>
        <v>65.540540540540505</v>
      </c>
      <c r="I9" s="20">
        <f>IF(COUNT(I20:I200)&lt;&gt;0, MAX(I20:I200), "")</f>
        <v>66.891891891891902</v>
      </c>
      <c r="J9" s="20">
        <f>IF(COUNT(J20:J200)&lt;&gt;0, MAX(J20:J200), "")</f>
        <v>67.3333333333333</v>
      </c>
      <c r="K9" s="20">
        <f>IF(COUNT(K20:K200)&lt;&gt;0, MAX(K20:K200), "")</f>
        <v>69.078947368421098</v>
      </c>
      <c r="L9" s="20">
        <f>L7+L8</f>
        <v>60.194291925983791</v>
      </c>
      <c r="M9" s="20">
        <f>M7+M8</f>
        <v>58.304102019057936</v>
      </c>
      <c r="N9" s="20"/>
      <c r="O9" s="20">
        <f>IF(COUNT(O20:O200)&lt;&gt;0, MAX(O20:O200), "")</f>
        <v>60</v>
      </c>
      <c r="P9" s="20">
        <f>IF(COUNT(P20:P200)&lt;&gt;0, MAX(P20:P200), "")</f>
        <v>58.44</v>
      </c>
      <c r="Q9" s="20">
        <f>IF(COUNT(Q20:Q200)&lt;&gt;0, MAX(Q20:Q200), "")</f>
        <v>56.926584543407699</v>
      </c>
      <c r="R9" s="20">
        <f>IF(COUNT(R20:R200)&lt;&gt;0, MAX(R20:R200), "")</f>
        <v>65</v>
      </c>
      <c r="S9" s="20">
        <f>IF(COUNT(S20:S200)&lt;&gt;0, MAX(S20:S200), "")</f>
        <v>57.653971591612198</v>
      </c>
      <c r="T9" s="24">
        <f>T8+T7</f>
        <v>55.737974692076726</v>
      </c>
      <c r="U9" s="24">
        <f t="shared" ref="U9:W9" si="2">U8+U7</f>
        <v>53.608812469563951</v>
      </c>
      <c r="V9" s="24">
        <f t="shared" si="2"/>
        <v>51.834764629672421</v>
      </c>
      <c r="W9" s="24">
        <f t="shared" si="2"/>
        <v>49.164214745581702</v>
      </c>
    </row>
    <row r="10" spans="1:23" s="5" customFormat="1" ht="12.75" x14ac:dyDescent="0.2">
      <c r="A10" s="6" t="s">
        <v>12</v>
      </c>
      <c r="B10" s="20"/>
      <c r="C10" s="20">
        <f>IF(COUNT(C20:C200)&lt;&gt;0, MIN(C20:C200), "")</f>
        <v>39</v>
      </c>
      <c r="D10" s="20">
        <f>IF(COUNT(D20:D200)&lt;&gt;0, MIN(D20:D200), "")</f>
        <v>41</v>
      </c>
      <c r="E10" s="20">
        <f>IF(COUNT(E20:E200)&lt;&gt;0, MIN(E20:E200), "")</f>
        <v>42.2</v>
      </c>
      <c r="F10" s="20">
        <f>IF(COUNT(F20:F200)&lt;&gt;0, MIN(F20:F200), "")</f>
        <v>39.299999999999997</v>
      </c>
      <c r="G10" s="21"/>
      <c r="H10" s="20">
        <f>IF(COUNT(H20:H200)&lt;&gt;0, MIN(H20:H200), "")</f>
        <v>35.700000000000003</v>
      </c>
      <c r="I10" s="20">
        <f>IF(COUNT(I20:I200)&lt;&gt;0, MIN(I20:I200), "")</f>
        <v>32.700000000000003</v>
      </c>
      <c r="J10" s="20">
        <f>IF(COUNT(J20:J200)&lt;&gt;0, MIN(J20:J200), "")</f>
        <v>30.7</v>
      </c>
      <c r="K10" s="20">
        <f>IF(COUNT(K20:K200)&lt;&gt;0, MIN(K20:K200), "")</f>
        <v>29.3</v>
      </c>
      <c r="L10" s="20">
        <f>L7-L8</f>
        <v>46.32372730914453</v>
      </c>
      <c r="M10" s="20">
        <f>M7-M8</f>
        <v>40.175446575444568</v>
      </c>
      <c r="N10" s="20"/>
      <c r="O10" s="20">
        <f>IF(COUNT(O20:O200)&lt;&gt;0, MIN(O20:O200), "")</f>
        <v>26.675000000000001</v>
      </c>
      <c r="P10" s="20">
        <f>IF(COUNT(P20:P200)&lt;&gt;0, MIN(P20:P200), "")</f>
        <v>25.75</v>
      </c>
      <c r="Q10" s="20">
        <f>IF(COUNT(Q20:Q200)&lt;&gt;0, MIN(Q20:Q200), "")</f>
        <v>23.916445835899999</v>
      </c>
      <c r="R10" s="20">
        <f>IF(COUNT(R20:R200)&lt;&gt;0, MIN(R20:R200), "")</f>
        <v>25.167100000000001</v>
      </c>
      <c r="S10" s="20">
        <f>IF(COUNT(S20:S200)&lt;&gt;0, MIN(S20:S200), "")</f>
        <v>22.9</v>
      </c>
      <c r="T10" s="24">
        <f>T7-T8</f>
        <v>35.927781390077506</v>
      </c>
      <c r="U10" s="24">
        <f t="shared" ref="U10:W10" si="3">U7-U8</f>
        <v>33.197602402681504</v>
      </c>
      <c r="V10" s="24">
        <f t="shared" si="3"/>
        <v>31.155728326702043</v>
      </c>
      <c r="W10" s="24">
        <f t="shared" si="3"/>
        <v>25.513148676421437</v>
      </c>
    </row>
    <row r="11" spans="1:23" s="5" customFormat="1" ht="12.75" x14ac:dyDescent="0.2">
      <c r="A11" s="6" t="s">
        <v>13</v>
      </c>
      <c r="B11" s="3"/>
      <c r="C11" s="20">
        <f>IF(COUNT(C20:C200)&gt;1, STDEV(C20:C200), "")</f>
        <v>6.7757016685877325</v>
      </c>
      <c r="D11" s="20">
        <f>IF(COUNT(D20:D200)&gt;1, STDEV(D20:D200), "")</f>
        <v>6.9069334689519248</v>
      </c>
      <c r="E11" s="20">
        <f>IF(COUNT(E20:E200)&gt;1, STDEV(E20:E200), "")</f>
        <v>6.9912198772257712</v>
      </c>
      <c r="F11" s="20">
        <f>IF(COUNT(F20:F200)&gt;1, STDEV(F20:F200), "")</f>
        <v>7.0672742189131039</v>
      </c>
      <c r="G11" s="21"/>
      <c r="H11" s="20">
        <f>IF(COUNT(H20:H200)&gt;1, STDEV(H20:H200), "")</f>
        <v>7.7782392575113866</v>
      </c>
      <c r="I11" s="20">
        <f>IF(COUNT(I20:I200)&gt;1, STDEV(I20:I200), "")</f>
        <v>8.6363170275463279</v>
      </c>
      <c r="J11" s="20">
        <f>IF(COUNT(J20:J200)&gt;1, STDEV(J20:J200), "")</f>
        <v>9.4026341342848081</v>
      </c>
      <c r="K11" s="20">
        <f>IF(COUNT(K20:K200)&gt;1, STDEV(K20:K200), "")</f>
        <v>10.440120467884215</v>
      </c>
      <c r="L11" s="20"/>
      <c r="M11" s="20"/>
      <c r="N11" s="20"/>
      <c r="O11" s="20">
        <f>IF(COUNT(O20:O200)&gt;1, STDEV(O20:O200), "")</f>
        <v>9.9050966509996119</v>
      </c>
      <c r="P11" s="20">
        <f>IF(COUNT(P20:P200)&gt;1, STDEV(P20:P200), "")</f>
        <v>10.205605033441225</v>
      </c>
      <c r="Q11" s="20">
        <f>IF(COUNT(Q20:Q200)&gt;1, STDEV(Q20:Q200), "")</f>
        <v>10.339518151485191</v>
      </c>
      <c r="R11" s="20">
        <f>IF(COUNT(R20:R200)&gt;1, STDEV(R20:R200), "")</f>
        <v>16.231691826394773</v>
      </c>
      <c r="S11" s="20">
        <f>IF(COUNT(S20:S200)&gt;1, STDEV(S20:S200), "")</f>
        <v>11.825533034580133</v>
      </c>
    </row>
    <row r="12" spans="1:23" s="5" customFormat="1" ht="12.75" x14ac:dyDescent="0.2">
      <c r="A12" s="6" t="s">
        <v>14</v>
      </c>
      <c r="B12" s="3"/>
      <c r="C12" s="20">
        <f>IF(COUNT(C20:C200)&lt;&gt;0, COUNT(C20:C200), "")</f>
        <v>23</v>
      </c>
      <c r="D12" s="20">
        <f>IF(COUNT(D20:D200)&lt;&gt;0, COUNT(D20:D200), "")</f>
        <v>23</v>
      </c>
      <c r="E12" s="20">
        <f>IF(COUNT(E20:E200)&lt;&gt;0, COUNT(E20:E200), "")</f>
        <v>23</v>
      </c>
      <c r="F12" s="20">
        <f>IF(COUNT(F20:F200)&lt;&gt;0, COUNT(F20:F200), "")</f>
        <v>23</v>
      </c>
      <c r="G12" s="22"/>
      <c r="H12" s="20">
        <f>IF(COUNT(H20:H200)&lt;&gt;0, COUNT(H20:H200), "")</f>
        <v>20</v>
      </c>
      <c r="I12" s="20">
        <f>IF(COUNT(I20:I200)&lt;&gt;0, COUNT(I20:I200), "")</f>
        <v>19</v>
      </c>
      <c r="J12" s="20">
        <f>IF(COUNT(J20:J200)&lt;&gt;0, COUNT(J20:J200), "")</f>
        <v>19</v>
      </c>
      <c r="K12" s="20">
        <f>IF(COUNT(K20:K200)&lt;&gt;0, COUNT(K20:K200), "")</f>
        <v>17</v>
      </c>
      <c r="L12" s="23"/>
      <c r="M12" s="23"/>
      <c r="N12" s="23"/>
      <c r="O12" s="20">
        <f>IF(COUNT(O20:O200)&lt;&gt;0, COUNT(O20:O200), "")</f>
        <v>15</v>
      </c>
      <c r="P12" s="20">
        <f>IF(COUNT(P20:P200)&lt;&gt;0, COUNT(P20:P200), "")</f>
        <v>14</v>
      </c>
      <c r="Q12" s="20">
        <f>IF(COUNT(Q20:Q200)&lt;&gt;0, COUNT(Q20:Q200), "")</f>
        <v>11</v>
      </c>
      <c r="R12" s="20">
        <f>IF(COUNT(R20:R200)&lt;&gt;0, COUNT(R20:R200), "")</f>
        <v>7</v>
      </c>
      <c r="S12" s="20">
        <f>IF(COUNT(S20:S200)&lt;&gt;0, COUNT(S20:S200), "")</f>
        <v>10</v>
      </c>
    </row>
    <row r="13" spans="1:23" s="5" customFormat="1" ht="12.75" x14ac:dyDescent="0.2">
      <c r="A13" s="6"/>
      <c r="B13" s="3"/>
      <c r="C13" s="12"/>
      <c r="D13" s="12"/>
      <c r="E13" s="12"/>
      <c r="F13" s="12"/>
      <c r="G13" s="1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23" s="5" customFormat="1" ht="12.75" x14ac:dyDescent="0.2">
      <c r="A14" s="6"/>
      <c r="B14" s="3"/>
      <c r="C14" s="20"/>
      <c r="D14" s="20"/>
      <c r="E14" s="20"/>
      <c r="F14" s="20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23" s="5" customFormat="1" ht="12.75" x14ac:dyDescent="0.2">
      <c r="A15" s="6"/>
      <c r="B15" s="3"/>
      <c r="C15" s="20"/>
      <c r="D15" s="20"/>
      <c r="E15" s="20"/>
      <c r="F15" s="20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23" s="5" customFormat="1" ht="12.75" x14ac:dyDescent="0.2">
      <c r="A16" s="6"/>
      <c r="B16" s="3"/>
      <c r="C16" s="20"/>
      <c r="D16" s="20"/>
      <c r="E16" s="20"/>
      <c r="F16" s="20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9" s="5" customFormat="1" ht="12.75" x14ac:dyDescent="0.2">
      <c r="A17" s="6"/>
      <c r="B17" s="3"/>
      <c r="C17" s="20"/>
      <c r="D17" s="20"/>
      <c r="E17" s="20"/>
      <c r="F17" s="20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9" s="5" customFormat="1" ht="12.75" x14ac:dyDescent="0.2">
      <c r="A18" s="6"/>
      <c r="B18" s="3"/>
      <c r="C18" s="20"/>
      <c r="D18" s="20"/>
      <c r="E18" s="20"/>
      <c r="F18" s="20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9" s="5" customFormat="1" ht="12.75" x14ac:dyDescent="0.2">
      <c r="A19" s="6"/>
      <c r="B19" s="3"/>
      <c r="C19" s="20"/>
      <c r="D19" s="20"/>
      <c r="E19" s="20"/>
      <c r="F19" s="20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9" s="5" customFormat="1" ht="12.75" x14ac:dyDescent="0.2">
      <c r="A20" s="8" t="s">
        <v>50</v>
      </c>
      <c r="B20" s="3"/>
      <c r="C20" s="20">
        <v>60.8108108108108</v>
      </c>
      <c r="D20" s="20">
        <v>62.162162162162197</v>
      </c>
      <c r="E20" s="20">
        <v>62.837837837837803</v>
      </c>
      <c r="F20" s="20">
        <v>64.864864864864899</v>
      </c>
      <c r="G20" s="19">
        <v>1.6372059932072993E-2</v>
      </c>
      <c r="H20" s="20">
        <v>65.540540540540505</v>
      </c>
      <c r="I20" s="20">
        <v>66.891891891891902</v>
      </c>
      <c r="J20" s="20">
        <v>67.3333333333333</v>
      </c>
      <c r="K20" s="20">
        <v>69.078947368421098</v>
      </c>
      <c r="L20" s="20"/>
      <c r="M20" s="20"/>
      <c r="N20" s="20"/>
      <c r="O20" s="20" t="s">
        <v>16</v>
      </c>
      <c r="P20" s="20"/>
      <c r="Q20" s="20"/>
      <c r="R20" s="20"/>
      <c r="S20" s="24"/>
    </row>
    <row r="21" spans="1:19" s="5" customFormat="1" ht="12.75" x14ac:dyDescent="0.2">
      <c r="A21" s="8" t="s">
        <v>25</v>
      </c>
      <c r="B21" s="3"/>
      <c r="C21" s="20">
        <v>65.714285714285694</v>
      </c>
      <c r="D21" s="20">
        <v>68.571428571428598</v>
      </c>
      <c r="E21" s="20">
        <v>65.714285714285694</v>
      </c>
      <c r="F21" s="20">
        <v>60</v>
      </c>
      <c r="G21" s="19">
        <v>-5.9855844562832973E-2</v>
      </c>
      <c r="H21" s="20">
        <v>53.846153846153797</v>
      </c>
      <c r="I21" s="20">
        <v>51.25</v>
      </c>
      <c r="J21" s="20">
        <v>50</v>
      </c>
      <c r="K21" s="20">
        <v>47.5</v>
      </c>
      <c r="L21" s="20"/>
      <c r="M21" s="20"/>
      <c r="N21" s="20"/>
      <c r="O21" s="20" t="s">
        <v>16</v>
      </c>
      <c r="P21" s="20"/>
      <c r="Q21" s="20"/>
      <c r="R21" s="20"/>
      <c r="S21" s="24"/>
    </row>
    <row r="22" spans="1:19" s="5" customFormat="1" ht="12.75" x14ac:dyDescent="0.2">
      <c r="A22" s="8" t="s">
        <v>17</v>
      </c>
      <c r="B22" s="3"/>
      <c r="C22" s="20">
        <v>55</v>
      </c>
      <c r="D22" s="20">
        <v>60</v>
      </c>
      <c r="E22" s="20">
        <v>65</v>
      </c>
      <c r="F22" s="20">
        <v>60</v>
      </c>
      <c r="G22" s="19">
        <v>-5.9855844562832973E-2</v>
      </c>
      <c r="H22" s="20">
        <v>50</v>
      </c>
      <c r="I22" s="20" t="s">
        <v>16</v>
      </c>
      <c r="J22" s="20" t="s">
        <v>16</v>
      </c>
      <c r="K22" s="20" t="s">
        <v>16</v>
      </c>
      <c r="L22" s="20"/>
      <c r="M22" s="20"/>
      <c r="N22" s="20"/>
      <c r="O22" s="20">
        <v>44.45</v>
      </c>
      <c r="P22" s="20">
        <v>45.47</v>
      </c>
      <c r="Q22" s="20">
        <v>46.5</v>
      </c>
      <c r="R22" s="20"/>
      <c r="S22" s="24"/>
    </row>
    <row r="23" spans="1:19" s="5" customFormat="1" ht="12.75" x14ac:dyDescent="0.2">
      <c r="A23" s="8" t="s">
        <v>23</v>
      </c>
      <c r="B23" s="3"/>
      <c r="C23" s="20">
        <v>60.368719232847702</v>
      </c>
      <c r="D23" s="20">
        <v>60.040817139460799</v>
      </c>
      <c r="E23" s="20">
        <v>59.712915046073903</v>
      </c>
      <c r="F23" s="20">
        <v>59.385012952686999</v>
      </c>
      <c r="G23" s="19">
        <v>-6.9492119199514271E-2</v>
      </c>
      <c r="H23" s="20">
        <v>59.190047603343501</v>
      </c>
      <c r="I23" s="20">
        <v>59.061550626021798</v>
      </c>
      <c r="J23" s="20">
        <v>58.933053648700103</v>
      </c>
      <c r="K23" s="20">
        <v>58.8045566713784</v>
      </c>
      <c r="L23" s="20"/>
      <c r="M23" s="20"/>
      <c r="N23" s="20"/>
      <c r="O23" s="20">
        <v>58.141781343085498</v>
      </c>
      <c r="P23" s="20">
        <v>57.308931301956797</v>
      </c>
      <c r="Q23" s="20">
        <v>56.926584543407699</v>
      </c>
      <c r="R23" s="20">
        <v>63.654643262537199</v>
      </c>
      <c r="S23" s="24">
        <v>57.653971591612198</v>
      </c>
    </row>
    <row r="24" spans="1:19" s="5" customFormat="1" ht="12.75" x14ac:dyDescent="0.2">
      <c r="A24" s="8" t="s">
        <v>19</v>
      </c>
      <c r="B24" s="3"/>
      <c r="C24" s="20">
        <v>57</v>
      </c>
      <c r="D24" s="20">
        <v>58</v>
      </c>
      <c r="E24" s="20">
        <v>59</v>
      </c>
      <c r="F24" s="20">
        <v>59</v>
      </c>
      <c r="G24" s="19">
        <v>-7.5524913820119083E-2</v>
      </c>
      <c r="H24" s="20">
        <v>59</v>
      </c>
      <c r="I24" s="20">
        <v>59</v>
      </c>
      <c r="J24" s="20">
        <v>59</v>
      </c>
      <c r="K24" s="20">
        <v>59</v>
      </c>
      <c r="L24" s="20"/>
      <c r="M24" s="20"/>
      <c r="N24" s="20"/>
      <c r="O24" s="20" t="s">
        <v>16</v>
      </c>
      <c r="P24" s="20"/>
      <c r="Q24" s="20"/>
      <c r="R24" s="20"/>
      <c r="S24" s="24"/>
    </row>
    <row r="25" spans="1:19" s="5" customFormat="1" ht="12.75" x14ac:dyDescent="0.2">
      <c r="A25" s="8" t="s">
        <v>24</v>
      </c>
      <c r="B25" s="3"/>
      <c r="C25" s="20">
        <v>56.410256410256402</v>
      </c>
      <c r="D25" s="20">
        <v>57.692307692307701</v>
      </c>
      <c r="E25" s="20">
        <v>58.75</v>
      </c>
      <c r="F25" s="20">
        <v>58.536585365853703</v>
      </c>
      <c r="G25" s="19">
        <v>-8.2786189817397313E-2</v>
      </c>
      <c r="H25" s="20">
        <v>56.6265060240964</v>
      </c>
      <c r="I25" s="20">
        <v>48.192771084337402</v>
      </c>
      <c r="J25" s="20">
        <v>47.5</v>
      </c>
      <c r="K25" s="20">
        <v>47.5</v>
      </c>
      <c r="L25" s="20"/>
      <c r="M25" s="20"/>
      <c r="N25" s="20"/>
      <c r="O25" s="20">
        <v>45.625</v>
      </c>
      <c r="P25" s="20">
        <v>43.75</v>
      </c>
      <c r="Q25" s="20">
        <v>37.5</v>
      </c>
      <c r="R25" s="20">
        <v>35.8915584895799</v>
      </c>
      <c r="S25" s="24">
        <v>31.25</v>
      </c>
    </row>
    <row r="26" spans="1:19" s="5" customFormat="1" ht="12.75" x14ac:dyDescent="0.2">
      <c r="A26" s="6" t="s">
        <v>41</v>
      </c>
      <c r="B26" s="3"/>
      <c r="C26" s="20">
        <v>51.6871165644</v>
      </c>
      <c r="D26" s="20">
        <v>53.717681857999999</v>
      </c>
      <c r="E26" s="20">
        <v>56.434438181899999</v>
      </c>
      <c r="F26" s="20">
        <v>58.480961764299998</v>
      </c>
      <c r="G26" s="19">
        <v>-8.3657759882482016E-2</v>
      </c>
      <c r="H26" s="20" t="s">
        <v>16</v>
      </c>
      <c r="I26" s="20" t="s">
        <v>16</v>
      </c>
      <c r="J26" s="20" t="s">
        <v>16</v>
      </c>
      <c r="K26" s="20" t="s">
        <v>16</v>
      </c>
      <c r="L26" s="20"/>
      <c r="M26" s="20"/>
      <c r="N26" s="20"/>
      <c r="O26" s="20">
        <v>55.028797183800002</v>
      </c>
      <c r="P26" s="20"/>
      <c r="Q26" s="20"/>
      <c r="R26" s="20"/>
      <c r="S26" s="24"/>
    </row>
    <row r="27" spans="1:19" s="5" customFormat="1" ht="12.75" x14ac:dyDescent="0.2">
      <c r="A27" s="6" t="s">
        <v>20</v>
      </c>
      <c r="B27" s="3"/>
      <c r="C27" s="20">
        <v>54.1</v>
      </c>
      <c r="D27" s="20">
        <v>56.1</v>
      </c>
      <c r="E27" s="20">
        <v>56.5</v>
      </c>
      <c r="F27" s="20">
        <v>58.4</v>
      </c>
      <c r="G27" s="19">
        <v>-8.4926355374490781E-2</v>
      </c>
      <c r="H27" s="20">
        <v>58.4</v>
      </c>
      <c r="I27" s="20">
        <v>58.1</v>
      </c>
      <c r="J27" s="20">
        <v>58.6</v>
      </c>
      <c r="K27" s="20">
        <v>60</v>
      </c>
      <c r="L27" s="20"/>
      <c r="M27" s="20"/>
      <c r="N27" s="20"/>
      <c r="O27" s="20" t="s">
        <v>16</v>
      </c>
      <c r="P27" s="20"/>
      <c r="Q27" s="20"/>
      <c r="R27" s="20"/>
      <c r="S27" s="24"/>
    </row>
    <row r="28" spans="1:19" s="5" customFormat="1" ht="12.75" x14ac:dyDescent="0.2">
      <c r="A28" s="6" t="s">
        <v>36</v>
      </c>
      <c r="B28" s="3"/>
      <c r="C28" s="20">
        <v>55</v>
      </c>
      <c r="D28" s="20">
        <v>60</v>
      </c>
      <c r="E28" s="20">
        <v>58</v>
      </c>
      <c r="F28" s="20">
        <v>55</v>
      </c>
      <c r="G28" s="19">
        <v>-0.13820119084926355</v>
      </c>
      <c r="H28" s="20">
        <v>52</v>
      </c>
      <c r="I28" s="20">
        <v>52</v>
      </c>
      <c r="J28" s="20">
        <v>52</v>
      </c>
      <c r="K28" s="20">
        <v>52</v>
      </c>
      <c r="L28" s="20"/>
      <c r="M28" s="20"/>
      <c r="N28" s="20"/>
      <c r="O28" s="20">
        <v>49</v>
      </c>
      <c r="P28" s="20">
        <v>45</v>
      </c>
      <c r="Q28" s="20">
        <v>35.800181355315502</v>
      </c>
      <c r="R28" s="20"/>
      <c r="S28" s="24">
        <v>32</v>
      </c>
    </row>
    <row r="29" spans="1:19" s="5" customFormat="1" ht="12.75" x14ac:dyDescent="0.2">
      <c r="A29" s="6" t="s">
        <v>18</v>
      </c>
      <c r="B29" s="3"/>
      <c r="C29" s="20">
        <v>56</v>
      </c>
      <c r="D29" s="20">
        <v>57</v>
      </c>
      <c r="E29" s="20">
        <v>56</v>
      </c>
      <c r="F29" s="20">
        <v>55</v>
      </c>
      <c r="G29" s="19">
        <v>-0.13820119084926355</v>
      </c>
      <c r="H29" s="20">
        <v>55</v>
      </c>
      <c r="I29" s="20">
        <v>52</v>
      </c>
      <c r="J29" s="20">
        <v>52</v>
      </c>
      <c r="K29" s="20">
        <v>48.3</v>
      </c>
      <c r="L29" s="20"/>
      <c r="M29" s="20"/>
      <c r="N29" s="20"/>
      <c r="O29" s="20">
        <v>47.75</v>
      </c>
      <c r="P29" s="20">
        <v>42.375</v>
      </c>
      <c r="Q29" s="20">
        <v>42.579758414954398</v>
      </c>
      <c r="R29" s="20">
        <v>45.002931835817897</v>
      </c>
      <c r="S29" s="24">
        <v>38</v>
      </c>
    </row>
    <row r="30" spans="1:19" s="5" customFormat="1" ht="12.75" x14ac:dyDescent="0.2">
      <c r="A30" s="6" t="s">
        <v>28</v>
      </c>
      <c r="B30" s="3"/>
      <c r="C30" s="20">
        <v>54.72</v>
      </c>
      <c r="D30" s="20">
        <v>54.32</v>
      </c>
      <c r="E30" s="20">
        <v>53.84</v>
      </c>
      <c r="F30" s="20">
        <v>54.47</v>
      </c>
      <c r="G30" s="19">
        <v>-0.14650579755562521</v>
      </c>
      <c r="H30" s="20">
        <v>52.87</v>
      </c>
      <c r="I30" s="20">
        <v>53.09</v>
      </c>
      <c r="J30" s="20">
        <v>52.71</v>
      </c>
      <c r="K30" s="20">
        <v>56.44</v>
      </c>
      <c r="L30" s="20"/>
      <c r="M30" s="20"/>
      <c r="N30" s="20"/>
      <c r="O30" s="20">
        <v>57.54</v>
      </c>
      <c r="P30" s="20">
        <v>58.44</v>
      </c>
      <c r="Q30" s="20">
        <v>51.17</v>
      </c>
      <c r="R30" s="20">
        <v>58.19</v>
      </c>
      <c r="S30" s="24">
        <v>46.44</v>
      </c>
    </row>
    <row r="31" spans="1:19" s="5" customFormat="1" ht="12.75" x14ac:dyDescent="0.2">
      <c r="A31" s="6" t="s">
        <v>29</v>
      </c>
      <c r="B31" s="3"/>
      <c r="C31" s="20">
        <v>47.852760736196302</v>
      </c>
      <c r="D31" s="20">
        <v>47.852760736196302</v>
      </c>
      <c r="E31" s="20">
        <v>52.5</v>
      </c>
      <c r="F31" s="20">
        <v>52.5</v>
      </c>
      <c r="G31" s="19">
        <v>-0.17737386399247884</v>
      </c>
      <c r="H31" s="20">
        <v>52.564102564102598</v>
      </c>
      <c r="I31" s="20">
        <v>52.564102564102598</v>
      </c>
      <c r="J31" s="20">
        <v>51.282051282051299</v>
      </c>
      <c r="K31" s="20" t="s">
        <v>16</v>
      </c>
      <c r="L31" s="20"/>
      <c r="M31" s="20"/>
      <c r="N31" s="20"/>
      <c r="O31" s="20">
        <v>50.657894736842103</v>
      </c>
      <c r="P31" s="20">
        <v>50.337837837837803</v>
      </c>
      <c r="Q31" s="20"/>
      <c r="R31" s="20">
        <v>31.070231395959802</v>
      </c>
      <c r="S31" s="24">
        <v>27.1428455184036</v>
      </c>
    </row>
    <row r="32" spans="1:19" s="5" customFormat="1" ht="12.75" x14ac:dyDescent="0.2">
      <c r="A32" s="6" t="s">
        <v>26</v>
      </c>
      <c r="B32" s="3"/>
      <c r="C32" s="20">
        <v>60</v>
      </c>
      <c r="D32" s="20">
        <v>58</v>
      </c>
      <c r="E32" s="20">
        <v>55</v>
      </c>
      <c r="F32" s="20">
        <v>52</v>
      </c>
      <c r="G32" s="19">
        <v>-0.1852083986211219</v>
      </c>
      <c r="H32" s="20">
        <v>48</v>
      </c>
      <c r="I32" s="20">
        <v>46</v>
      </c>
      <c r="J32" s="20">
        <v>44</v>
      </c>
      <c r="K32" s="20">
        <v>43</v>
      </c>
      <c r="L32" s="20"/>
      <c r="M32" s="20"/>
      <c r="N32" s="20"/>
      <c r="O32" s="20">
        <v>40.75</v>
      </c>
      <c r="P32" s="20">
        <v>38.25</v>
      </c>
      <c r="Q32" s="20"/>
      <c r="R32" s="20"/>
      <c r="S32" s="24">
        <v>33</v>
      </c>
    </row>
    <row r="33" spans="1:19" s="5" customFormat="1" ht="12.75" x14ac:dyDescent="0.2">
      <c r="A33" s="6" t="s">
        <v>30</v>
      </c>
      <c r="B33" s="3"/>
      <c r="C33" s="20">
        <v>58</v>
      </c>
      <c r="D33" s="20">
        <v>56</v>
      </c>
      <c r="E33" s="20">
        <v>54</v>
      </c>
      <c r="F33" s="20">
        <v>52</v>
      </c>
      <c r="G33" s="19">
        <v>-0.1852083986211219</v>
      </c>
      <c r="H33" s="20" t="s">
        <v>16</v>
      </c>
      <c r="I33" s="20" t="s">
        <v>16</v>
      </c>
      <c r="J33" s="20" t="s">
        <v>16</v>
      </c>
      <c r="K33" s="20" t="s">
        <v>16</v>
      </c>
      <c r="L33" s="20"/>
      <c r="M33" s="20"/>
      <c r="N33" s="20"/>
      <c r="O33" s="20" t="s">
        <v>16</v>
      </c>
      <c r="P33" s="20"/>
      <c r="Q33" s="20"/>
      <c r="R33" s="20"/>
      <c r="S33" s="24"/>
    </row>
    <row r="34" spans="1:19" s="5" customFormat="1" ht="12.75" x14ac:dyDescent="0.2">
      <c r="A34" s="6" t="s">
        <v>40</v>
      </c>
      <c r="B34" s="3"/>
      <c r="C34" s="20">
        <v>48</v>
      </c>
      <c r="D34" s="20">
        <v>50</v>
      </c>
      <c r="E34" s="20">
        <v>52</v>
      </c>
      <c r="F34" s="20">
        <v>52</v>
      </c>
      <c r="G34" s="19">
        <v>-0.1852083986211219</v>
      </c>
      <c r="H34" s="20">
        <v>54</v>
      </c>
      <c r="I34" s="20">
        <v>56</v>
      </c>
      <c r="J34" s="20">
        <v>58</v>
      </c>
      <c r="K34" s="20">
        <v>52</v>
      </c>
      <c r="L34" s="20"/>
      <c r="M34" s="20"/>
      <c r="N34" s="20"/>
      <c r="O34" s="20">
        <v>60</v>
      </c>
      <c r="P34" s="20">
        <v>55</v>
      </c>
      <c r="Q34" s="20">
        <v>50</v>
      </c>
      <c r="R34" s="20">
        <v>65</v>
      </c>
      <c r="S34" s="24">
        <v>55</v>
      </c>
    </row>
    <row r="35" spans="1:19" s="5" customFormat="1" ht="12.75" x14ac:dyDescent="0.2">
      <c r="A35" s="6" t="s">
        <v>15</v>
      </c>
      <c r="B35" s="3"/>
      <c r="C35" s="20">
        <v>60</v>
      </c>
      <c r="D35" s="20">
        <v>56</v>
      </c>
      <c r="E35" s="20">
        <v>53</v>
      </c>
      <c r="F35" s="20">
        <v>50</v>
      </c>
      <c r="G35" s="19">
        <v>-0.21654653713569413</v>
      </c>
      <c r="H35" s="20" t="s">
        <v>16</v>
      </c>
      <c r="I35" s="20" t="s">
        <v>16</v>
      </c>
      <c r="J35" s="20" t="s">
        <v>16</v>
      </c>
      <c r="K35" s="20" t="s">
        <v>16</v>
      </c>
      <c r="L35" s="20"/>
      <c r="M35" s="20"/>
      <c r="N35" s="20"/>
      <c r="O35" s="20" t="s">
        <v>16</v>
      </c>
      <c r="P35" s="20"/>
      <c r="Q35" s="20"/>
      <c r="R35" s="20"/>
      <c r="S35" s="24"/>
    </row>
    <row r="36" spans="1:19" s="5" customFormat="1" ht="12.75" x14ac:dyDescent="0.2">
      <c r="A36" s="6" t="s">
        <v>39</v>
      </c>
      <c r="B36" s="3"/>
      <c r="C36" s="20">
        <v>47</v>
      </c>
      <c r="D36" s="20">
        <v>51</v>
      </c>
      <c r="E36" s="20">
        <v>50</v>
      </c>
      <c r="F36" s="20">
        <v>49</v>
      </c>
      <c r="G36" s="19">
        <v>-0.23221560639298025</v>
      </c>
      <c r="H36" s="20">
        <v>47</v>
      </c>
      <c r="I36" s="20">
        <v>47</v>
      </c>
      <c r="J36" s="20">
        <v>45</v>
      </c>
      <c r="K36" s="20">
        <v>45</v>
      </c>
      <c r="L36" s="20"/>
      <c r="M36" s="20"/>
      <c r="N36" s="20"/>
      <c r="O36" s="20" t="s">
        <v>16</v>
      </c>
      <c r="P36" s="20"/>
      <c r="Q36" s="20"/>
      <c r="R36" s="20"/>
      <c r="S36" s="24"/>
    </row>
    <row r="37" spans="1:19" s="5" customFormat="1" ht="12.75" x14ac:dyDescent="0.2">
      <c r="A37" s="6" t="s">
        <v>32</v>
      </c>
      <c r="B37" s="3"/>
      <c r="C37" s="20">
        <v>44.130029999999998</v>
      </c>
      <c r="D37" s="20">
        <v>44.039589999999997</v>
      </c>
      <c r="E37" s="20">
        <v>44.123460000000001</v>
      </c>
      <c r="F37" s="20">
        <v>44.207320000000003</v>
      </c>
      <c r="G37" s="19">
        <v>-0.30731244124099022</v>
      </c>
      <c r="H37" s="20">
        <v>44.301450000000003</v>
      </c>
      <c r="I37" s="20">
        <v>44.405909999999999</v>
      </c>
      <c r="J37" s="20">
        <v>44.520760000000003</v>
      </c>
      <c r="K37" s="20">
        <v>44.635599999999997</v>
      </c>
      <c r="L37" s="20"/>
      <c r="M37" s="20"/>
      <c r="N37" s="20"/>
      <c r="O37" s="20">
        <v>44.922725</v>
      </c>
      <c r="P37" s="20">
        <v>45.424397499999998</v>
      </c>
      <c r="Q37" s="20">
        <v>45.996510000000001</v>
      </c>
      <c r="R37" s="20"/>
      <c r="S37" s="24"/>
    </row>
    <row r="38" spans="1:19" s="5" customFormat="1" ht="12.75" x14ac:dyDescent="0.2">
      <c r="A38" s="6" t="s">
        <v>43</v>
      </c>
      <c r="B38" s="3"/>
      <c r="C38" s="20">
        <v>39</v>
      </c>
      <c r="D38" s="20">
        <v>41</v>
      </c>
      <c r="E38" s="20">
        <v>42.25</v>
      </c>
      <c r="F38" s="20">
        <v>44</v>
      </c>
      <c r="G38" s="19">
        <v>-0.31056095267941086</v>
      </c>
      <c r="H38" s="20">
        <v>43</v>
      </c>
      <c r="I38" s="20">
        <v>43</v>
      </c>
      <c r="J38" s="20">
        <v>43</v>
      </c>
      <c r="K38" s="20" t="s">
        <v>16</v>
      </c>
      <c r="L38" s="20"/>
      <c r="M38" s="20"/>
      <c r="N38" s="20"/>
      <c r="O38" s="20">
        <v>37</v>
      </c>
      <c r="P38" s="20">
        <v>34</v>
      </c>
      <c r="Q38" s="20"/>
      <c r="R38" s="20"/>
      <c r="S38" s="24">
        <v>30</v>
      </c>
    </row>
    <row r="39" spans="1:19" s="5" customFormat="1" ht="12.75" x14ac:dyDescent="0.2">
      <c r="A39" s="6" t="s">
        <v>33</v>
      </c>
      <c r="B39" s="3"/>
      <c r="C39" s="20">
        <v>53.4</v>
      </c>
      <c r="D39" s="20">
        <v>50.2</v>
      </c>
      <c r="E39" s="20">
        <v>47</v>
      </c>
      <c r="F39" s="20">
        <v>43.7</v>
      </c>
      <c r="G39" s="19">
        <v>-0.31526167345659661</v>
      </c>
      <c r="H39" s="20">
        <v>41.3</v>
      </c>
      <c r="I39" s="20">
        <v>39.799999999999997</v>
      </c>
      <c r="J39" s="20">
        <v>38.299999999999997</v>
      </c>
      <c r="K39" s="20">
        <v>36.799999999999997</v>
      </c>
      <c r="L39" s="20"/>
      <c r="M39" s="20"/>
      <c r="N39" s="20"/>
      <c r="O39" s="20" t="s">
        <v>16</v>
      </c>
      <c r="P39" s="20"/>
      <c r="Q39" s="20"/>
      <c r="R39" s="20"/>
      <c r="S39" s="24"/>
    </row>
    <row r="40" spans="1:19" s="5" customFormat="1" ht="12.75" x14ac:dyDescent="0.2">
      <c r="A40" s="6" t="s">
        <v>42</v>
      </c>
      <c r="B40" s="3"/>
      <c r="C40" s="20">
        <v>41.743513762743099</v>
      </c>
      <c r="D40" s="20">
        <v>42.988140992219002</v>
      </c>
      <c r="E40" s="20">
        <v>43.503179130936097</v>
      </c>
      <c r="F40" s="20">
        <v>42.545166114101697</v>
      </c>
      <c r="G40" s="19">
        <v>-0.33335684559539802</v>
      </c>
      <c r="H40" s="20">
        <v>40.8391995026888</v>
      </c>
      <c r="I40" s="20">
        <v>39.608288086291701</v>
      </c>
      <c r="J40" s="20">
        <v>39.004544291801402</v>
      </c>
      <c r="K40" s="20">
        <v>39.027968119218102</v>
      </c>
      <c r="L40" s="20"/>
      <c r="M40" s="20"/>
      <c r="N40" s="20"/>
      <c r="O40" s="20">
        <v>40.139340338369102</v>
      </c>
      <c r="P40" s="20">
        <v>40.613511075903602</v>
      </c>
      <c r="Q40" s="20">
        <v>40.702206110482003</v>
      </c>
      <c r="R40" s="20"/>
      <c r="S40" s="24"/>
    </row>
    <row r="41" spans="1:19" s="5" customFormat="1" ht="12.75" x14ac:dyDescent="0.2">
      <c r="A41" s="6" t="s">
        <v>37</v>
      </c>
      <c r="B41" s="3"/>
      <c r="C41" s="20">
        <v>52.248118869246603</v>
      </c>
      <c r="D41" s="20">
        <v>49.439588219415299</v>
      </c>
      <c r="E41" s="20">
        <v>45.521063799047802</v>
      </c>
      <c r="F41" s="20">
        <v>42.041704572037801</v>
      </c>
      <c r="G41" s="19">
        <v>-0.34124561936637732</v>
      </c>
      <c r="H41" s="20">
        <v>40.042304615205303</v>
      </c>
      <c r="I41" s="20">
        <v>37.582381442399303</v>
      </c>
      <c r="J41" s="20">
        <v>34.936582088452901</v>
      </c>
      <c r="K41" s="20">
        <v>33.335966021855398</v>
      </c>
      <c r="L41" s="20"/>
      <c r="M41" s="20"/>
      <c r="N41" s="20"/>
      <c r="O41" s="20">
        <v>29.81263201406</v>
      </c>
      <c r="P41" s="20">
        <v>25.925226390020001</v>
      </c>
      <c r="Q41" s="20">
        <v>23.916445835899999</v>
      </c>
      <c r="R41" s="20"/>
      <c r="S41" s="24"/>
    </row>
    <row r="42" spans="1:19" s="5" customFormat="1" ht="12.75" x14ac:dyDescent="0.2">
      <c r="A42" s="6" t="s">
        <v>44</v>
      </c>
      <c r="B42" s="3"/>
      <c r="C42" s="20">
        <v>44.6</v>
      </c>
      <c r="D42" s="20">
        <v>43.6</v>
      </c>
      <c r="E42" s="20">
        <v>42.2</v>
      </c>
      <c r="F42" s="20">
        <v>39.299999999999997</v>
      </c>
      <c r="G42" s="19">
        <v>-0.38420557818865564</v>
      </c>
      <c r="H42" s="20">
        <v>35.700000000000003</v>
      </c>
      <c r="I42" s="20">
        <v>32.700000000000003</v>
      </c>
      <c r="J42" s="20">
        <v>30.7</v>
      </c>
      <c r="K42" s="20">
        <v>29.3</v>
      </c>
      <c r="L42" s="20"/>
      <c r="M42" s="20"/>
      <c r="N42" s="20"/>
      <c r="O42" s="20">
        <v>26.675000000000001</v>
      </c>
      <c r="P42" s="20">
        <v>25.75</v>
      </c>
      <c r="Q42" s="20">
        <v>25.356024999999999</v>
      </c>
      <c r="R42" s="20">
        <v>25.167100000000001</v>
      </c>
      <c r="S42" s="24">
        <v>22.9</v>
      </c>
    </row>
    <row r="43" spans="1:19" s="5" customFormat="1" ht="12.75" x14ac:dyDescent="0.2">
      <c r="A43" s="6"/>
      <c r="B43" s="3"/>
      <c r="C43" s="20"/>
      <c r="D43" s="20"/>
      <c r="E43" s="20"/>
      <c r="F43" s="20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4"/>
    </row>
    <row r="44" spans="1:19" s="5" customFormat="1" ht="12.75" x14ac:dyDescent="0.2">
      <c r="A44" s="6"/>
      <c r="B44" s="3"/>
      <c r="C44" s="20"/>
      <c r="D44" s="20"/>
      <c r="E44" s="20"/>
      <c r="F44" s="20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4"/>
    </row>
    <row r="45" spans="1:19" s="5" customFormat="1" ht="12.75" x14ac:dyDescent="0.2">
      <c r="A45" s="6"/>
      <c r="B45" s="3"/>
      <c r="C45" s="20"/>
      <c r="D45" s="20"/>
      <c r="E45" s="20"/>
      <c r="F45" s="20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4"/>
    </row>
    <row r="46" spans="1:19" s="5" customFormat="1" ht="12.75" x14ac:dyDescent="0.2">
      <c r="A46" s="6"/>
      <c r="B46" s="3"/>
      <c r="C46" s="20"/>
      <c r="D46" s="20"/>
      <c r="E46" s="20"/>
      <c r="F46" s="20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4"/>
    </row>
    <row r="47" spans="1:19" s="5" customFormat="1" ht="12.75" x14ac:dyDescent="0.2">
      <c r="A47" s="6"/>
      <c r="B47" s="3"/>
      <c r="C47" s="20"/>
      <c r="D47" s="20"/>
      <c r="E47" s="20"/>
      <c r="F47" s="20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4"/>
    </row>
    <row r="48" spans="1:19" s="5" customFormat="1" ht="12.75" x14ac:dyDescent="0.2">
      <c r="A48" s="6"/>
      <c r="B48" s="3"/>
      <c r="C48" s="20"/>
      <c r="D48" s="20"/>
      <c r="E48" s="20"/>
      <c r="F48" s="20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</row>
    <row r="49" spans="1:18" s="5" customFormat="1" ht="12.75" x14ac:dyDescent="0.2">
      <c r="A49" s="6"/>
      <c r="B49" s="3"/>
      <c r="C49" s="20"/>
      <c r="D49" s="20"/>
      <c r="E49" s="20"/>
      <c r="F49" s="20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</row>
    <row r="50" spans="1:18" s="5" customFormat="1" ht="12.75" x14ac:dyDescent="0.2">
      <c r="A50" s="6"/>
      <c r="B50" s="3"/>
      <c r="C50" s="20"/>
      <c r="D50" s="20"/>
      <c r="E50" s="20"/>
      <c r="F50" s="20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</row>
    <row r="51" spans="1:18" s="5" customFormat="1" ht="12.75" x14ac:dyDescent="0.2">
      <c r="A51" s="6"/>
      <c r="B51" s="3"/>
      <c r="C51" s="20"/>
      <c r="D51" s="20"/>
      <c r="E51" s="20"/>
      <c r="F51" s="20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</row>
    <row r="52" spans="1:18" s="5" customFormat="1" ht="12.75" x14ac:dyDescent="0.2">
      <c r="A52" s="6"/>
      <c r="B52" s="3"/>
      <c r="C52" s="20"/>
      <c r="D52" s="20"/>
      <c r="E52" s="20"/>
      <c r="F52" s="20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</row>
    <row r="53" spans="1:18" s="5" customFormat="1" ht="12.75" x14ac:dyDescent="0.2">
      <c r="A53" s="6"/>
      <c r="B53" s="3"/>
      <c r="C53" s="20"/>
      <c r="D53" s="20"/>
      <c r="E53" s="20"/>
      <c r="F53" s="20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</row>
    <row r="54" spans="1:18" s="5" customFormat="1" ht="12.75" x14ac:dyDescent="0.2">
      <c r="A54" s="6"/>
      <c r="B54" s="3"/>
      <c r="C54" s="20"/>
      <c r="D54" s="20"/>
      <c r="E54" s="20"/>
      <c r="F54" s="20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</row>
    <row r="55" spans="1:18" s="5" customFormat="1" ht="12.75" x14ac:dyDescent="0.2">
      <c r="A55" s="6"/>
      <c r="B55" s="3"/>
      <c r="C55" s="20"/>
      <c r="D55" s="20"/>
      <c r="E55" s="20"/>
      <c r="F55" s="20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</row>
    <row r="56" spans="1:18" s="5" customFormat="1" ht="12.75" x14ac:dyDescent="0.2">
      <c r="A56" s="6"/>
      <c r="B56" s="3"/>
      <c r="C56" s="20"/>
      <c r="D56" s="20"/>
      <c r="E56" s="20"/>
      <c r="F56" s="20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</row>
    <row r="57" spans="1:18" s="5" customFormat="1" ht="12.75" x14ac:dyDescent="0.2">
      <c r="A57" s="6"/>
      <c r="B57" s="3"/>
      <c r="C57" s="20"/>
      <c r="D57" s="20"/>
      <c r="E57" s="20"/>
      <c r="F57" s="20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</row>
    <row r="58" spans="1:18" s="5" customFormat="1" ht="12.75" x14ac:dyDescent="0.2">
      <c r="A58" s="6"/>
      <c r="B58" s="3"/>
      <c r="C58" s="20"/>
      <c r="D58" s="20"/>
      <c r="E58" s="20"/>
      <c r="F58" s="20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</row>
    <row r="59" spans="1:18" s="5" customFormat="1" ht="12.75" x14ac:dyDescent="0.2">
      <c r="A59" s="6"/>
      <c r="B59" s="3"/>
      <c r="C59" s="20"/>
      <c r="D59" s="20"/>
      <c r="E59" s="20"/>
      <c r="F59" s="20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</row>
    <row r="60" spans="1:18" s="5" customFormat="1" ht="12.75" x14ac:dyDescent="0.2">
      <c r="A60" s="6"/>
      <c r="B60" s="3"/>
      <c r="C60" s="20"/>
      <c r="D60" s="20"/>
      <c r="E60" s="20"/>
      <c r="F60" s="20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spans="1:18" s="5" customFormat="1" ht="12.75" x14ac:dyDescent="0.2">
      <c r="A61" s="6"/>
      <c r="B61" s="3"/>
      <c r="C61" s="20"/>
      <c r="D61" s="20"/>
      <c r="E61" s="20"/>
      <c r="F61" s="20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8" s="5" customFormat="1" ht="12.75" x14ac:dyDescent="0.2">
      <c r="A62" s="6"/>
      <c r="B62" s="3"/>
      <c r="C62" s="20"/>
      <c r="D62" s="20"/>
      <c r="E62" s="20"/>
      <c r="F62" s="20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spans="1:18" s="5" customFormat="1" ht="12.75" x14ac:dyDescent="0.2">
      <c r="A63" s="6"/>
      <c r="B63" s="3"/>
      <c r="C63" s="20"/>
      <c r="D63" s="20"/>
      <c r="E63" s="20"/>
      <c r="F63" s="20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</row>
    <row r="64" spans="1:18" s="5" customFormat="1" ht="12.75" x14ac:dyDescent="0.2">
      <c r="A64" s="6"/>
      <c r="B64" s="3"/>
      <c r="C64" s="20"/>
      <c r="D64" s="20"/>
      <c r="E64" s="20"/>
      <c r="F64" s="20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</row>
    <row r="65" spans="1:18" s="5" customFormat="1" ht="12.75" x14ac:dyDescent="0.2">
      <c r="A65" s="6"/>
      <c r="B65" s="3"/>
      <c r="C65" s="20"/>
      <c r="D65" s="20"/>
      <c r="E65" s="20"/>
      <c r="F65" s="20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</row>
    <row r="66" spans="1:18" s="5" customFormat="1" ht="12.75" x14ac:dyDescent="0.2">
      <c r="A66" s="6"/>
      <c r="B66" s="3"/>
      <c r="C66" s="20"/>
      <c r="D66" s="20"/>
      <c r="E66" s="20"/>
      <c r="F66" s="20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</row>
    <row r="67" spans="1:18" s="5" customFormat="1" ht="12.75" x14ac:dyDescent="0.2">
      <c r="A67" s="6"/>
      <c r="B67" s="3"/>
      <c r="C67" s="20"/>
      <c r="D67" s="20"/>
      <c r="E67" s="20"/>
      <c r="F67" s="20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</row>
    <row r="68" spans="1:18" s="5" customFormat="1" ht="12.75" x14ac:dyDescent="0.2">
      <c r="A68" s="6"/>
      <c r="B68" s="3"/>
      <c r="C68" s="20"/>
      <c r="D68" s="20"/>
      <c r="E68" s="20"/>
      <c r="F68" s="20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</row>
    <row r="69" spans="1:18" s="5" customFormat="1" ht="12.75" x14ac:dyDescent="0.2">
      <c r="A69" s="6"/>
      <c r="B69" s="3"/>
      <c r="C69" s="20"/>
      <c r="D69" s="20"/>
      <c r="E69" s="20"/>
      <c r="F69" s="20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</row>
    <row r="70" spans="1:18" s="5" customFormat="1" ht="12.75" x14ac:dyDescent="0.2">
      <c r="A70" s="6"/>
      <c r="B70" s="3"/>
      <c r="C70" s="20"/>
      <c r="D70" s="20"/>
      <c r="E70" s="20"/>
      <c r="F70" s="20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</row>
    <row r="71" spans="1:18" s="5" customFormat="1" ht="12.75" x14ac:dyDescent="0.2">
      <c r="A71" s="6"/>
      <c r="B71" s="3"/>
      <c r="C71" s="20"/>
      <c r="D71" s="20"/>
      <c r="E71" s="20"/>
      <c r="F71" s="20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1:18" s="5" customFormat="1" ht="12.75" x14ac:dyDescent="0.2">
      <c r="A72" s="6"/>
      <c r="B72" s="3"/>
      <c r="C72" s="20"/>
      <c r="D72" s="20"/>
      <c r="E72" s="20"/>
      <c r="F72" s="20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1:18" s="5" customFormat="1" ht="12.75" x14ac:dyDescent="0.2">
      <c r="A73" s="6"/>
      <c r="B73" s="3"/>
      <c r="C73" s="20"/>
      <c r="D73" s="20"/>
      <c r="E73" s="20"/>
      <c r="F73" s="20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1:18" s="5" customFormat="1" ht="12.75" x14ac:dyDescent="0.2">
      <c r="A74" s="6"/>
      <c r="B74" s="3"/>
      <c r="C74" s="20"/>
      <c r="D74" s="20"/>
      <c r="E74" s="20"/>
      <c r="F74" s="20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1:18" s="5" customFormat="1" ht="12.75" x14ac:dyDescent="0.2">
      <c r="A75" s="6"/>
      <c r="B75" s="3"/>
      <c r="C75" s="20"/>
      <c r="D75" s="20"/>
      <c r="E75" s="20"/>
      <c r="F75" s="20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1:18" s="5" customFormat="1" ht="12.75" x14ac:dyDescent="0.2">
      <c r="A76" s="6"/>
      <c r="B76" s="3"/>
      <c r="C76" s="20"/>
      <c r="D76" s="20"/>
      <c r="E76" s="20"/>
      <c r="F76" s="20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1:18" s="5" customFormat="1" ht="12.75" x14ac:dyDescent="0.2">
      <c r="A77" s="6"/>
      <c r="B77" s="3"/>
      <c r="C77" s="20"/>
      <c r="D77" s="20"/>
      <c r="E77" s="20"/>
      <c r="F77" s="20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1:18" s="5" customFormat="1" ht="12.75" x14ac:dyDescent="0.2">
      <c r="A78" s="6"/>
      <c r="B78" s="3"/>
      <c r="C78" s="20"/>
      <c r="D78" s="20"/>
      <c r="E78" s="20"/>
      <c r="F78" s="20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1:18" s="5" customFormat="1" ht="12.75" x14ac:dyDescent="0.2">
      <c r="A79" s="6"/>
      <c r="B79" s="3"/>
      <c r="C79" s="20"/>
      <c r="D79" s="20"/>
      <c r="E79" s="20"/>
      <c r="F79" s="20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1:18" s="5" customFormat="1" ht="12.75" x14ac:dyDescent="0.2">
      <c r="A80" s="6"/>
      <c r="B80" s="3"/>
      <c r="C80" s="20"/>
      <c r="D80" s="20"/>
      <c r="E80" s="20"/>
      <c r="F80" s="20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1:18" s="5" customFormat="1" ht="12.75" x14ac:dyDescent="0.2">
      <c r="A81" s="6"/>
      <c r="B81" s="3"/>
      <c r="C81" s="20"/>
      <c r="D81" s="20"/>
      <c r="E81" s="20"/>
      <c r="F81" s="20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1:18" s="5" customFormat="1" ht="12.75" x14ac:dyDescent="0.2">
      <c r="A82" s="6"/>
      <c r="B82" s="3"/>
      <c r="C82" s="20"/>
      <c r="D82" s="20"/>
      <c r="E82" s="20"/>
      <c r="F82" s="20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1:18" s="5" customFormat="1" ht="12.75" x14ac:dyDescent="0.2">
      <c r="A83" s="6"/>
      <c r="B83" s="3"/>
      <c r="C83" s="20"/>
      <c r="D83" s="20"/>
      <c r="E83" s="20"/>
      <c r="F83" s="20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1:18" s="5" customFormat="1" ht="12.75" x14ac:dyDescent="0.2">
      <c r="A84" s="6"/>
      <c r="B84" s="3"/>
      <c r="C84" s="20"/>
      <c r="D84" s="20"/>
      <c r="E84" s="20"/>
      <c r="F84" s="20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1:18" s="5" customFormat="1" ht="12.75" x14ac:dyDescent="0.2">
      <c r="A85" s="6"/>
      <c r="B85" s="3"/>
      <c r="C85" s="20"/>
      <c r="D85" s="20"/>
      <c r="E85" s="20"/>
      <c r="F85" s="20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1:18" s="5" customFormat="1" ht="12.75" x14ac:dyDescent="0.2">
      <c r="A86" s="6"/>
      <c r="B86" s="3"/>
      <c r="C86" s="20"/>
      <c r="D86" s="20"/>
      <c r="E86" s="20"/>
      <c r="F86" s="20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1:18" s="5" customFormat="1" ht="12.75" x14ac:dyDescent="0.2">
      <c r="A87" s="6"/>
      <c r="B87" s="3"/>
      <c r="C87" s="20"/>
      <c r="D87" s="20"/>
      <c r="E87" s="20"/>
      <c r="F87" s="20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1:18" s="5" customFormat="1" ht="12.75" x14ac:dyDescent="0.2">
      <c r="A88" s="6"/>
      <c r="B88" s="3"/>
      <c r="C88" s="20"/>
      <c r="D88" s="20"/>
      <c r="E88" s="20"/>
      <c r="F88" s="20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1:18" s="5" customFormat="1" ht="12.75" x14ac:dyDescent="0.2">
      <c r="A89" s="6"/>
      <c r="B89" s="3"/>
      <c r="C89" s="20"/>
      <c r="D89" s="20"/>
      <c r="E89" s="20"/>
      <c r="F89" s="20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1:18" s="5" customFormat="1" ht="12.75" x14ac:dyDescent="0.2">
      <c r="A90" s="6"/>
      <c r="B90" s="3"/>
      <c r="C90" s="20"/>
      <c r="D90" s="20"/>
      <c r="E90" s="20"/>
      <c r="F90" s="20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1:18" s="5" customFormat="1" ht="12.75" x14ac:dyDescent="0.2">
      <c r="A91" s="6"/>
      <c r="B91" s="3"/>
      <c r="C91" s="20"/>
      <c r="D91" s="20"/>
      <c r="E91" s="20"/>
      <c r="F91" s="20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1:18" s="5" customFormat="1" ht="12.75" x14ac:dyDescent="0.2">
      <c r="A92" s="6"/>
      <c r="B92" s="3"/>
      <c r="C92" s="20"/>
      <c r="D92" s="20"/>
      <c r="E92" s="20"/>
      <c r="F92" s="20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1:18" s="5" customFormat="1" ht="12.75" x14ac:dyDescent="0.2">
      <c r="A93" s="6"/>
      <c r="B93" s="3"/>
      <c r="C93" s="20"/>
      <c r="D93" s="20"/>
      <c r="E93" s="20"/>
      <c r="F93" s="20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1:18" s="5" customFormat="1" ht="12.75" x14ac:dyDescent="0.2">
      <c r="A94" s="6"/>
      <c r="B94" s="3"/>
      <c r="C94" s="20"/>
      <c r="D94" s="20"/>
      <c r="E94" s="20"/>
      <c r="F94" s="20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1:18" s="5" customFormat="1" ht="12.75" x14ac:dyDescent="0.2">
      <c r="A95" s="6"/>
      <c r="B95" s="3"/>
      <c r="C95" s="20"/>
      <c r="D95" s="20"/>
      <c r="E95" s="20"/>
      <c r="F95" s="20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1:18" s="5" customFormat="1" ht="12.75" x14ac:dyDescent="0.2">
      <c r="A96" s="6"/>
      <c r="B96" s="3"/>
      <c r="C96" s="20"/>
      <c r="D96" s="20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1:18" s="5" customFormat="1" ht="12.75" x14ac:dyDescent="0.2">
      <c r="A97" s="6"/>
      <c r="B97" s="3"/>
      <c r="C97" s="20"/>
      <c r="D97" s="20"/>
      <c r="E97" s="20"/>
      <c r="F97" s="20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1:18" s="5" customFormat="1" ht="12.75" x14ac:dyDescent="0.2">
      <c r="A98" s="6"/>
      <c r="B98" s="3"/>
      <c r="C98" s="20"/>
      <c r="D98" s="20"/>
      <c r="E98" s="20"/>
      <c r="F98" s="20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1:18" s="5" customFormat="1" ht="12.75" x14ac:dyDescent="0.2">
      <c r="A99" s="6"/>
      <c r="B99" s="3"/>
      <c r="C99" s="20"/>
      <c r="D99" s="20"/>
      <c r="E99" s="20"/>
      <c r="F99" s="20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1:18" s="5" customFormat="1" ht="12.75" x14ac:dyDescent="0.2">
      <c r="A100" s="6"/>
      <c r="B100" s="3"/>
      <c r="C100" s="20"/>
      <c r="D100" s="20"/>
      <c r="E100" s="20"/>
      <c r="F100" s="20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0768-8BD2-4823-A8CA-967214AF8F3F}">
  <dimension ref="A1:E11"/>
  <sheetViews>
    <sheetView workbookViewId="0">
      <selection activeCell="A2" sqref="A2:A11"/>
    </sheetView>
  </sheetViews>
  <sheetFormatPr defaultRowHeight="15" x14ac:dyDescent="0.25"/>
  <sheetData>
    <row r="1" spans="1:5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25">
      <c r="A2" s="28">
        <v>46023</v>
      </c>
      <c r="B2">
        <v>53.259009617564161</v>
      </c>
      <c r="C2">
        <v>6.9352823084196338</v>
      </c>
      <c r="D2">
        <v>60.194291925983791</v>
      </c>
      <c r="E2">
        <v>46.32372730914453</v>
      </c>
    </row>
    <row r="3" spans="1:5" x14ac:dyDescent="0.25">
      <c r="A3" s="28">
        <v>46388</v>
      </c>
      <c r="B3">
        <v>49.239774297251252</v>
      </c>
      <c r="C3">
        <v>9.0643277218066842</v>
      </c>
      <c r="D3">
        <v>58.304102019057936</v>
      </c>
      <c r="E3">
        <v>40.175446575444568</v>
      </c>
    </row>
    <row r="4" spans="1:5" x14ac:dyDescent="0.25">
      <c r="A4" s="28">
        <v>46753</v>
      </c>
      <c r="B4">
        <v>45.832878041077102</v>
      </c>
      <c r="C4">
        <v>9.9050966509996119</v>
      </c>
      <c r="D4">
        <v>55.737974692076726</v>
      </c>
      <c r="E4">
        <v>35.927781390077506</v>
      </c>
    </row>
    <row r="5" spans="1:5" x14ac:dyDescent="0.25">
      <c r="A5" s="28">
        <v>47119</v>
      </c>
      <c r="B5">
        <v>43.403207436122727</v>
      </c>
      <c r="C5">
        <v>10.205605033441225</v>
      </c>
      <c r="D5">
        <v>53.608812469563951</v>
      </c>
      <c r="E5">
        <v>33.197602402681504</v>
      </c>
    </row>
    <row r="6" spans="1:5" x14ac:dyDescent="0.25">
      <c r="A6" s="28">
        <v>47484</v>
      </c>
      <c r="B6">
        <v>41.495246478187234</v>
      </c>
      <c r="C6">
        <v>10.339518151485191</v>
      </c>
      <c r="D6">
        <v>51.834764629672421</v>
      </c>
      <c r="E6">
        <v>31.155728326702043</v>
      </c>
    </row>
    <row r="7" spans="1:5" x14ac:dyDescent="0.25">
      <c r="A7" s="28">
        <v>47849</v>
      </c>
      <c r="B7">
        <v>37.33868171100157</v>
      </c>
      <c r="C7">
        <v>11.825533034580133</v>
      </c>
      <c r="D7">
        <v>49.164214745581702</v>
      </c>
      <c r="E7">
        <v>25.513148676421437</v>
      </c>
    </row>
    <row r="8" spans="1:5" x14ac:dyDescent="0.25">
      <c r="A8" s="28">
        <v>48214</v>
      </c>
      <c r="B8">
        <v>37.33868171100157</v>
      </c>
      <c r="C8">
        <v>11.825533034580133</v>
      </c>
      <c r="D8">
        <v>49.164214745581702</v>
      </c>
      <c r="E8">
        <v>25.513148676421437</v>
      </c>
    </row>
    <row r="9" spans="1:5" x14ac:dyDescent="0.25">
      <c r="A9" s="28">
        <v>48580</v>
      </c>
      <c r="B9">
        <v>37.33868171100157</v>
      </c>
      <c r="C9">
        <v>11.825533034580133</v>
      </c>
      <c r="D9">
        <v>49.164214745581702</v>
      </c>
      <c r="E9">
        <v>25.513148676421437</v>
      </c>
    </row>
    <row r="10" spans="1:5" x14ac:dyDescent="0.25">
      <c r="A10" s="28">
        <v>48945</v>
      </c>
      <c r="B10">
        <v>37.33868171100157</v>
      </c>
      <c r="C10">
        <v>11.825533034580133</v>
      </c>
      <c r="D10">
        <v>49.164214745581702</v>
      </c>
      <c r="E10">
        <v>25.513148676421437</v>
      </c>
    </row>
    <row r="11" spans="1:5" x14ac:dyDescent="0.25">
      <c r="A11" s="28">
        <v>49310</v>
      </c>
      <c r="B11">
        <v>37.33868171100157</v>
      </c>
      <c r="C11">
        <v>11.825533034580133</v>
      </c>
      <c r="D11">
        <v>49.164214745581702</v>
      </c>
      <c r="E11">
        <v>25.513148676421437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176E-843E-4584-9425-C4E2126D9E0D}">
  <dimension ref="A1:E11"/>
  <sheetViews>
    <sheetView workbookViewId="0">
      <selection activeCell="A2" sqref="A2:A11"/>
    </sheetView>
  </sheetViews>
  <sheetFormatPr defaultRowHeight="15" x14ac:dyDescent="0.25"/>
  <sheetData>
    <row r="1" spans="1:5" x14ac:dyDescent="0.25">
      <c r="A1" t="s">
        <v>52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 s="28">
        <v>46023</v>
      </c>
      <c r="B2">
        <v>4215.2729447974807</v>
      </c>
      <c r="C2">
        <v>392.843610509467</v>
      </c>
      <c r="D2">
        <v>4608.1165553069477</v>
      </c>
      <c r="E2">
        <v>3822.4293342880137</v>
      </c>
    </row>
    <row r="3" spans="1:5" x14ac:dyDescent="0.25">
      <c r="A3" s="28">
        <v>46388</v>
      </c>
      <c r="B3">
        <v>3997.1792351355361</v>
      </c>
      <c r="C3">
        <v>630.79338532353415</v>
      </c>
      <c r="D3">
        <v>4627.9726204590706</v>
      </c>
      <c r="E3">
        <v>3366.3858498120021</v>
      </c>
    </row>
    <row r="4" spans="1:5" x14ac:dyDescent="0.25">
      <c r="A4" s="28">
        <v>46753</v>
      </c>
      <c r="B4">
        <v>3710.9034909744337</v>
      </c>
      <c r="C4">
        <v>730.45398217416096</v>
      </c>
      <c r="D4">
        <v>4441.3574731485951</v>
      </c>
      <c r="E4">
        <v>2980.4495088002727</v>
      </c>
    </row>
    <row r="5" spans="1:5" x14ac:dyDescent="0.25">
      <c r="A5" s="28">
        <v>47119</v>
      </c>
      <c r="B5">
        <v>3580.8584109131807</v>
      </c>
      <c r="C5">
        <v>788.64904050112784</v>
      </c>
      <c r="D5">
        <v>4369.5074514143089</v>
      </c>
      <c r="E5">
        <v>2792.209370412053</v>
      </c>
    </row>
    <row r="6" spans="1:5" x14ac:dyDescent="0.25">
      <c r="A6" s="28">
        <v>47484</v>
      </c>
      <c r="B6">
        <v>3531.4825523441591</v>
      </c>
      <c r="C6">
        <v>930.75353163691545</v>
      </c>
      <c r="D6">
        <v>4462.2360839810744</v>
      </c>
      <c r="E6">
        <v>2600.7290207072438</v>
      </c>
    </row>
    <row r="7" spans="1:5" x14ac:dyDescent="0.25">
      <c r="A7" s="28">
        <v>47849</v>
      </c>
      <c r="B7">
        <v>2995.1156305321074</v>
      </c>
      <c r="C7">
        <v>859.69052432815954</v>
      </c>
      <c r="D7">
        <v>3854.8061548602668</v>
      </c>
      <c r="E7">
        <v>2135.425106203948</v>
      </c>
    </row>
    <row r="8" spans="1:5" x14ac:dyDescent="0.25">
      <c r="A8" s="28">
        <v>48214</v>
      </c>
      <c r="B8">
        <v>2995.1156305321074</v>
      </c>
      <c r="C8">
        <v>859.69052432815954</v>
      </c>
      <c r="D8">
        <v>3854.8061548602668</v>
      </c>
      <c r="E8">
        <v>2135.425106203948</v>
      </c>
    </row>
    <row r="9" spans="1:5" x14ac:dyDescent="0.25">
      <c r="A9" s="28">
        <v>48580</v>
      </c>
      <c r="B9">
        <v>2995.1156305321074</v>
      </c>
      <c r="C9">
        <v>859.69052432815954</v>
      </c>
      <c r="D9">
        <v>3854.8061548602668</v>
      </c>
      <c r="E9">
        <v>2135.425106203948</v>
      </c>
    </row>
    <row r="10" spans="1:5" x14ac:dyDescent="0.25">
      <c r="A10" s="28">
        <v>48945</v>
      </c>
      <c r="B10">
        <v>2995.1156305321074</v>
      </c>
      <c r="C10">
        <v>859.69052432815954</v>
      </c>
      <c r="D10">
        <v>3854.8061548602668</v>
      </c>
      <c r="E10">
        <v>2135.425106203948</v>
      </c>
    </row>
    <row r="11" spans="1:5" x14ac:dyDescent="0.25">
      <c r="A11" s="28">
        <v>49310</v>
      </c>
      <c r="B11">
        <v>2995.1156305321074</v>
      </c>
      <c r="C11">
        <v>859.69052432815954</v>
      </c>
      <c r="D11">
        <v>3854.8061548602668</v>
      </c>
      <c r="E11">
        <v>2135.425106203948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AF1D-9B9B-4452-BE39-129FBF3CB8E9}">
  <dimension ref="A1:E11"/>
  <sheetViews>
    <sheetView workbookViewId="0">
      <selection activeCell="A2" sqref="A2:A11"/>
    </sheetView>
  </sheetViews>
  <sheetFormatPr defaultRowHeight="15" x14ac:dyDescent="0.25"/>
  <sheetData>
    <row r="1" spans="1:5" x14ac:dyDescent="0.25">
      <c r="A1" t="s">
        <v>52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s="28">
        <v>46023</v>
      </c>
      <c r="B2">
        <v>2007.6108102931389</v>
      </c>
      <c r="C2">
        <v>80.587879228062434</v>
      </c>
      <c r="D2">
        <v>2088.1986895212012</v>
      </c>
      <c r="E2">
        <v>1927.0229310650766</v>
      </c>
    </row>
    <row r="3" spans="1:5" x14ac:dyDescent="0.25">
      <c r="A3" s="28">
        <v>46388</v>
      </c>
      <c r="B3">
        <v>2035.7746351699423</v>
      </c>
      <c r="C3">
        <v>138.60708512130103</v>
      </c>
      <c r="D3">
        <v>2174.3817202912433</v>
      </c>
      <c r="E3">
        <v>1897.1675500486413</v>
      </c>
    </row>
    <row r="4" spans="1:5" x14ac:dyDescent="0.25">
      <c r="A4" s="28">
        <v>46753</v>
      </c>
      <c r="B4">
        <v>2107.5174221786924</v>
      </c>
      <c r="C4">
        <v>147.74317618016849</v>
      </c>
      <c r="D4">
        <v>2255.260598358861</v>
      </c>
      <c r="E4">
        <v>1959.7742459985238</v>
      </c>
    </row>
    <row r="5" spans="1:5" x14ac:dyDescent="0.25">
      <c r="A5" s="28">
        <v>47119</v>
      </c>
      <c r="B5">
        <v>2128.4695390658367</v>
      </c>
      <c r="C5">
        <v>174.86261534581089</v>
      </c>
      <c r="D5">
        <v>2303.3321544116475</v>
      </c>
      <c r="E5">
        <v>1953.6069237200259</v>
      </c>
    </row>
    <row r="6" spans="1:5" x14ac:dyDescent="0.25">
      <c r="A6" s="28">
        <v>47484</v>
      </c>
      <c r="B6">
        <v>2207.9043556386018</v>
      </c>
      <c r="C6">
        <v>204.15267735761361</v>
      </c>
      <c r="D6">
        <v>2412.0570329962156</v>
      </c>
      <c r="E6">
        <v>2003.7516782809882</v>
      </c>
    </row>
    <row r="7" spans="1:5" x14ac:dyDescent="0.25">
      <c r="A7" s="28">
        <v>47849</v>
      </c>
      <c r="B7">
        <v>1943.74320806889</v>
      </c>
      <c r="C7">
        <v>175.88817768957151</v>
      </c>
      <c r="D7">
        <v>2119.6313857584614</v>
      </c>
      <c r="E7">
        <v>1767.8550303793186</v>
      </c>
    </row>
    <row r="8" spans="1:5" x14ac:dyDescent="0.25">
      <c r="A8" s="28">
        <v>48214</v>
      </c>
      <c r="B8">
        <v>1943.74320806889</v>
      </c>
      <c r="C8">
        <v>175.88817768957151</v>
      </c>
      <c r="D8">
        <v>2119.6313857584614</v>
      </c>
      <c r="E8">
        <v>1767.8550303793186</v>
      </c>
    </row>
    <row r="9" spans="1:5" x14ac:dyDescent="0.25">
      <c r="A9" s="28">
        <v>48580</v>
      </c>
      <c r="B9">
        <v>1943.74320806889</v>
      </c>
      <c r="C9">
        <v>175.88817768957151</v>
      </c>
      <c r="D9">
        <v>2119.6313857584614</v>
      </c>
      <c r="E9">
        <v>1767.8550303793186</v>
      </c>
    </row>
    <row r="10" spans="1:5" x14ac:dyDescent="0.25">
      <c r="A10" s="28">
        <v>48945</v>
      </c>
      <c r="B10">
        <v>1943.74320806889</v>
      </c>
      <c r="C10">
        <v>175.88817768957151</v>
      </c>
      <c r="D10">
        <v>2119.6313857584614</v>
      </c>
      <c r="E10">
        <v>1767.8550303793186</v>
      </c>
    </row>
    <row r="11" spans="1:5" x14ac:dyDescent="0.25">
      <c r="A11" s="28">
        <v>49310</v>
      </c>
      <c r="B11">
        <v>1943.74320806889</v>
      </c>
      <c r="C11">
        <v>175.88817768957151</v>
      </c>
      <c r="D11">
        <v>2119.6313857584614</v>
      </c>
      <c r="E11">
        <v>1767.8550303793186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D7B8-AA88-4BBB-B921-CCEE14FB16A9}">
  <dimension ref="A1:E11"/>
  <sheetViews>
    <sheetView workbookViewId="0">
      <selection activeCell="A2" sqref="A2:A11"/>
    </sheetView>
  </sheetViews>
  <sheetFormatPr defaultRowHeight="15" x14ac:dyDescent="0.25"/>
  <sheetData>
    <row r="1" spans="1:5" x14ac:dyDescent="0.25">
      <c r="A1" t="s">
        <v>52</v>
      </c>
      <c r="B1" t="s">
        <v>65</v>
      </c>
      <c r="C1" t="s">
        <v>66</v>
      </c>
      <c r="D1" t="s">
        <v>67</v>
      </c>
      <c r="E1" t="s">
        <v>68</v>
      </c>
    </row>
    <row r="2" spans="1:5" x14ac:dyDescent="0.25">
      <c r="A2" s="28">
        <v>46023</v>
      </c>
      <c r="B2">
        <v>2899.8264932940301</v>
      </c>
      <c r="C2">
        <v>185.67981978436865</v>
      </c>
      <c r="D2">
        <v>3085.5063130783988</v>
      </c>
      <c r="E2">
        <v>2714.1466735096615</v>
      </c>
    </row>
    <row r="3" spans="1:5" x14ac:dyDescent="0.25">
      <c r="A3" s="28">
        <v>46388</v>
      </c>
      <c r="B3">
        <v>2824.7227581024335</v>
      </c>
      <c r="C3">
        <v>251.53935949841971</v>
      </c>
      <c r="D3">
        <v>3076.2621176008533</v>
      </c>
      <c r="E3">
        <v>2573.1833986040137</v>
      </c>
    </row>
    <row r="4" spans="1:5" x14ac:dyDescent="0.25">
      <c r="A4" s="28">
        <v>46753</v>
      </c>
      <c r="B4">
        <v>2838.6573609375955</v>
      </c>
      <c r="C4">
        <v>259.84863670607479</v>
      </c>
      <c r="D4">
        <v>3098.5059976436705</v>
      </c>
      <c r="E4">
        <v>2578.8087242315205</v>
      </c>
    </row>
    <row r="5" spans="1:5" x14ac:dyDescent="0.25">
      <c r="A5" s="28">
        <v>47119</v>
      </c>
      <c r="B5">
        <v>2889.6066364841085</v>
      </c>
      <c r="C5">
        <v>294.95077867243788</v>
      </c>
      <c r="D5">
        <v>3184.5574151565465</v>
      </c>
      <c r="E5">
        <v>2594.6558578116706</v>
      </c>
    </row>
    <row r="6" spans="1:5" x14ac:dyDescent="0.25">
      <c r="A6" s="28">
        <v>47484</v>
      </c>
      <c r="B6">
        <v>3015.6112885524458</v>
      </c>
      <c r="C6">
        <v>308.97083690402542</v>
      </c>
      <c r="D6">
        <v>3324.5821254564712</v>
      </c>
      <c r="E6">
        <v>2706.6404516484204</v>
      </c>
    </row>
    <row r="7" spans="1:5" x14ac:dyDescent="0.25">
      <c r="A7" s="28">
        <v>47849</v>
      </c>
      <c r="B7">
        <v>2725.3113601071882</v>
      </c>
      <c r="C7">
        <v>338.57238937159218</v>
      </c>
      <c r="D7">
        <v>3063.8837494787804</v>
      </c>
      <c r="E7">
        <v>2386.738970735596</v>
      </c>
    </row>
    <row r="8" spans="1:5" x14ac:dyDescent="0.25">
      <c r="A8" s="28">
        <v>48214</v>
      </c>
      <c r="B8">
        <v>2725.3113601071882</v>
      </c>
      <c r="C8">
        <v>338.57238937159218</v>
      </c>
      <c r="D8">
        <v>3063.8837494787804</v>
      </c>
      <c r="E8">
        <v>2386.738970735596</v>
      </c>
    </row>
    <row r="9" spans="1:5" x14ac:dyDescent="0.25">
      <c r="A9" s="28">
        <v>48580</v>
      </c>
      <c r="B9">
        <v>2725.3113601071882</v>
      </c>
      <c r="C9">
        <v>338.57238937159218</v>
      </c>
      <c r="D9">
        <v>3063.8837494787804</v>
      </c>
      <c r="E9">
        <v>2386.738970735596</v>
      </c>
    </row>
    <row r="10" spans="1:5" x14ac:dyDescent="0.25">
      <c r="A10" s="28">
        <v>48945</v>
      </c>
      <c r="B10">
        <v>2725.3113601071882</v>
      </c>
      <c r="C10">
        <v>338.57238937159218</v>
      </c>
      <c r="D10">
        <v>3063.8837494787804</v>
      </c>
      <c r="E10">
        <v>2386.738970735596</v>
      </c>
    </row>
    <row r="11" spans="1:5" x14ac:dyDescent="0.25">
      <c r="A11" s="28">
        <v>49310</v>
      </c>
      <c r="B11">
        <v>2725.3113601071882</v>
      </c>
      <c r="C11">
        <v>338.57238937159218</v>
      </c>
      <c r="D11">
        <v>3063.8837494787804</v>
      </c>
      <c r="E11">
        <v>2386.738970735596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F81A-2C4C-4149-AD41-87CC821D16F4}">
  <dimension ref="A1:E11"/>
  <sheetViews>
    <sheetView tabSelected="1" workbookViewId="0">
      <selection activeCell="F10" sqref="F10"/>
    </sheetView>
  </sheetViews>
  <sheetFormatPr defaultRowHeight="15" x14ac:dyDescent="0.25"/>
  <cols>
    <col min="3" max="3" width="20.42578125" bestFit="1" customWidth="1"/>
    <col min="4" max="4" width="11.28515625" bestFit="1" customWidth="1"/>
    <col min="5" max="5" width="29.7109375" bestFit="1" customWidth="1"/>
    <col min="6" max="6" width="29.28515625" bestFit="1" customWidth="1"/>
  </cols>
  <sheetData>
    <row r="1" spans="1:5" x14ac:dyDescent="0.25">
      <c r="A1" t="s">
        <v>52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25">
      <c r="A2" s="28">
        <v>46023</v>
      </c>
      <c r="B2">
        <v>10961.194621841049</v>
      </c>
      <c r="C2">
        <v>918.60066470936056</v>
      </c>
      <c r="D2">
        <v>11879.795286550408</v>
      </c>
      <c r="E2">
        <v>10042.593957131689</v>
      </c>
    </row>
    <row r="3" spans="1:5" x14ac:dyDescent="0.25">
      <c r="A3" s="28">
        <v>46388</v>
      </c>
      <c r="B3">
        <v>10901.405116727339</v>
      </c>
      <c r="C3">
        <v>1152.7262745646613</v>
      </c>
      <c r="D3">
        <v>12054.131391292001</v>
      </c>
      <c r="E3">
        <v>9748.678842162677</v>
      </c>
    </row>
    <row r="4" spans="1:5" x14ac:dyDescent="0.25">
      <c r="A4" s="28">
        <v>46753</v>
      </c>
      <c r="B4">
        <v>11048.159916572547</v>
      </c>
      <c r="C4">
        <v>1282.0817816080566</v>
      </c>
      <c r="D4">
        <v>12330.241698180604</v>
      </c>
      <c r="E4">
        <v>9766.0781349644913</v>
      </c>
    </row>
    <row r="5" spans="1:5" x14ac:dyDescent="0.25">
      <c r="A5" s="28">
        <v>47119</v>
      </c>
      <c r="B5">
        <v>11249.703582523651</v>
      </c>
      <c r="C5">
        <v>1291.0445117757026</v>
      </c>
      <c r="D5">
        <v>12540.748094299353</v>
      </c>
      <c r="E5">
        <v>9958.6590707479481</v>
      </c>
    </row>
    <row r="6" spans="1:5" x14ac:dyDescent="0.25">
      <c r="A6" s="28">
        <v>47484</v>
      </c>
      <c r="B6">
        <v>11454.788574553399</v>
      </c>
      <c r="C6">
        <v>1532.7881672207948</v>
      </c>
      <c r="D6">
        <v>12987.576741774194</v>
      </c>
      <c r="E6">
        <v>9922.0004073326036</v>
      </c>
    </row>
    <row r="7" spans="1:5" x14ac:dyDescent="0.25">
      <c r="A7" s="28">
        <v>47849</v>
      </c>
      <c r="B7">
        <v>9618.2238598230197</v>
      </c>
      <c r="C7">
        <v>1597.1535219321843</v>
      </c>
      <c r="D7">
        <v>11215.377381755205</v>
      </c>
      <c r="E7">
        <v>8021.0703378908356</v>
      </c>
    </row>
    <row r="8" spans="1:5" x14ac:dyDescent="0.25">
      <c r="A8" s="28">
        <v>48214</v>
      </c>
      <c r="B8">
        <v>9618.2238598230197</v>
      </c>
      <c r="C8">
        <v>1597.1535219321843</v>
      </c>
      <c r="D8">
        <v>11215.377381755205</v>
      </c>
      <c r="E8">
        <v>8021.0703378908356</v>
      </c>
    </row>
    <row r="9" spans="1:5" x14ac:dyDescent="0.25">
      <c r="A9" s="28">
        <v>48580</v>
      </c>
      <c r="B9">
        <v>9618.2238598230197</v>
      </c>
      <c r="C9">
        <v>1597.1535219321843</v>
      </c>
      <c r="D9">
        <v>11215.377381755205</v>
      </c>
      <c r="E9">
        <v>8021.0703378908356</v>
      </c>
    </row>
    <row r="10" spans="1:5" x14ac:dyDescent="0.25">
      <c r="A10" s="28">
        <v>48945</v>
      </c>
      <c r="B10">
        <v>9618.2238598230197</v>
      </c>
      <c r="C10">
        <v>1597.1535219321843</v>
      </c>
      <c r="D10">
        <v>11215.377381755205</v>
      </c>
      <c r="E10">
        <v>8021.0703378908356</v>
      </c>
    </row>
    <row r="11" spans="1:5" x14ac:dyDescent="0.25">
      <c r="A11" s="28">
        <v>49310</v>
      </c>
      <c r="B11">
        <v>9618.2238598230197</v>
      </c>
      <c r="C11">
        <v>1597.1535219321843</v>
      </c>
      <c r="D11">
        <v>11215.377381755205</v>
      </c>
      <c r="E11">
        <v>8021.0703378908356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Copper</vt:lpstr>
      <vt:lpstr>Zinc</vt:lpstr>
      <vt:lpstr>Lead</vt:lpstr>
      <vt:lpstr>Gold</vt:lpstr>
      <vt:lpstr>Silver</vt:lpstr>
      <vt:lpstr>Ag Forecast</vt:lpstr>
      <vt:lpstr>Au Forecast</vt:lpstr>
      <vt:lpstr>Pb Forecast</vt:lpstr>
      <vt:lpstr>Zn Forecast</vt:lpstr>
      <vt:lpstr>Cu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Harison Sharp</dc:creator>
  <cp:lastModifiedBy>Harison Sharp</cp:lastModifiedBy>
  <dcterms:created xsi:type="dcterms:W3CDTF">2026-01-08T01:38:56Z</dcterms:created>
  <dcterms:modified xsi:type="dcterms:W3CDTF">2026-01-08T22:03:30Z</dcterms:modified>
</cp:coreProperties>
</file>